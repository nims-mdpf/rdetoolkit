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e-user/Downloads/"/>
    </mc:Choice>
  </mc:AlternateContent>
  <xr:revisionPtr revIDLastSave="0" documentId="13_ncr:1_{116BCB6F-EAD8-494C-AFCB-FA2F88687869}" xr6:coauthVersionLast="47" xr6:coauthVersionMax="47" xr10:uidLastSave="{00000000-0000-0000-0000-000000000000}"/>
  <bookViews>
    <workbookView xWindow="0" yWindow="660" windowWidth="30240" windowHeight="18980" xr2:uid="{09971117-5DBC-461F-8E21-320146BEAB51}"/>
  </bookViews>
  <sheets>
    <sheet name="登録用" sheetId="1" r:id="rId1"/>
    <sheet name="specificTerm" sheetId="5" state="hidden" r:id="rId2"/>
    <sheet name="generalTerm" sheetId="4" state="hidden" r:id="rId3"/>
    <sheet name="ユーザーリスト" sheetId="6" r:id="rId4"/>
  </sheets>
  <definedNames>
    <definedName name="cell" localSheetId="2">#REF!</definedName>
    <definedName name="cell" localSheetId="1">#REF!</definedName>
    <definedName name="cell">#REF!</definedName>
    <definedName name="gas" localSheetId="2">#REF!</definedName>
    <definedName name="gas" localSheetId="1">#REF!</definedName>
    <definedName name="gas">#REF!</definedName>
    <definedName name="UUIDリスト">ユーザーリスト!#REF!</definedName>
    <definedName name="リスト">ユーザーリスト!#REF!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5" i="1"/>
  <c r="D6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D5" i="1"/>
  <c r="AD100" i="1"/>
  <c r="Z100" i="1"/>
  <c r="Y100" i="1"/>
  <c r="X100" i="1"/>
  <c r="AD99" i="1"/>
  <c r="Z99" i="1"/>
  <c r="Y99" i="1"/>
  <c r="X99" i="1"/>
  <c r="AD98" i="1"/>
  <c r="Z98" i="1"/>
  <c r="Y98" i="1"/>
  <c r="X98" i="1"/>
  <c r="AD97" i="1"/>
  <c r="Z97" i="1"/>
  <c r="Y97" i="1"/>
  <c r="X97" i="1"/>
  <c r="AD96" i="1"/>
  <c r="Z96" i="1"/>
  <c r="Y96" i="1"/>
  <c r="X96" i="1"/>
  <c r="AD95" i="1"/>
  <c r="Z95" i="1"/>
  <c r="Y95" i="1"/>
  <c r="X95" i="1"/>
  <c r="AD94" i="1"/>
  <c r="Z94" i="1"/>
  <c r="Y94" i="1"/>
  <c r="X94" i="1"/>
  <c r="AD93" i="1"/>
  <c r="Z93" i="1"/>
  <c r="Y93" i="1"/>
  <c r="X93" i="1"/>
  <c r="AD92" i="1"/>
  <c r="Z92" i="1"/>
  <c r="Y92" i="1"/>
  <c r="X92" i="1"/>
  <c r="AD91" i="1"/>
  <c r="Z91" i="1"/>
  <c r="Y91" i="1"/>
  <c r="X91" i="1"/>
  <c r="AD90" i="1"/>
  <c r="Z90" i="1"/>
  <c r="Y90" i="1"/>
  <c r="X90" i="1"/>
  <c r="AD89" i="1"/>
  <c r="Z89" i="1"/>
  <c r="Y89" i="1"/>
  <c r="X89" i="1"/>
  <c r="AD88" i="1"/>
  <c r="Z88" i="1"/>
  <c r="Y88" i="1"/>
  <c r="X88" i="1"/>
  <c r="AD87" i="1"/>
  <c r="Z87" i="1"/>
  <c r="Y87" i="1"/>
  <c r="X87" i="1"/>
  <c r="AD86" i="1"/>
  <c r="Z86" i="1"/>
  <c r="Y86" i="1"/>
  <c r="X86" i="1"/>
  <c r="AD85" i="1"/>
  <c r="Z85" i="1"/>
  <c r="Y85" i="1"/>
  <c r="X85" i="1"/>
  <c r="AD84" i="1"/>
  <c r="Z84" i="1"/>
  <c r="Y84" i="1"/>
  <c r="X84" i="1"/>
  <c r="AD83" i="1"/>
  <c r="Z83" i="1"/>
  <c r="Y83" i="1"/>
  <c r="X83" i="1"/>
  <c r="AD82" i="1"/>
  <c r="Z82" i="1"/>
  <c r="Y82" i="1"/>
  <c r="X82" i="1"/>
  <c r="AD81" i="1"/>
  <c r="Z81" i="1"/>
  <c r="Y81" i="1"/>
  <c r="X81" i="1"/>
  <c r="AD80" i="1"/>
  <c r="Z80" i="1"/>
  <c r="Y80" i="1"/>
  <c r="X80" i="1"/>
  <c r="AD79" i="1"/>
  <c r="Z79" i="1"/>
  <c r="Y79" i="1"/>
  <c r="X79" i="1"/>
  <c r="AD78" i="1"/>
  <c r="Z78" i="1"/>
  <c r="Y78" i="1"/>
  <c r="X78" i="1"/>
  <c r="AD77" i="1"/>
  <c r="Z77" i="1"/>
  <c r="Y77" i="1"/>
  <c r="X77" i="1"/>
  <c r="AD76" i="1"/>
  <c r="Z76" i="1"/>
  <c r="Y76" i="1"/>
  <c r="X76" i="1"/>
  <c r="AD75" i="1"/>
  <c r="Z75" i="1"/>
  <c r="Y75" i="1"/>
  <c r="X75" i="1"/>
  <c r="AD74" i="1"/>
  <c r="Z74" i="1"/>
  <c r="Y74" i="1"/>
  <c r="X74" i="1"/>
  <c r="AD73" i="1"/>
  <c r="Z73" i="1"/>
  <c r="Y73" i="1"/>
  <c r="X73" i="1"/>
  <c r="AD72" i="1"/>
  <c r="Z72" i="1"/>
  <c r="Y72" i="1"/>
  <c r="X72" i="1"/>
  <c r="AD71" i="1"/>
  <c r="Z71" i="1"/>
  <c r="Y71" i="1"/>
  <c r="X71" i="1"/>
  <c r="AD70" i="1"/>
  <c r="Z70" i="1"/>
  <c r="Y70" i="1"/>
  <c r="X70" i="1"/>
  <c r="AD69" i="1"/>
  <c r="Z69" i="1"/>
  <c r="Y69" i="1"/>
  <c r="X69" i="1"/>
  <c r="AD68" i="1"/>
  <c r="Z68" i="1"/>
  <c r="Y68" i="1"/>
  <c r="X68" i="1"/>
  <c r="AD67" i="1"/>
  <c r="Z67" i="1"/>
  <c r="Y67" i="1"/>
  <c r="X67" i="1"/>
  <c r="AD66" i="1"/>
  <c r="Z66" i="1"/>
  <c r="Y66" i="1"/>
  <c r="X66" i="1"/>
  <c r="AD65" i="1"/>
  <c r="Z65" i="1"/>
  <c r="Y65" i="1"/>
  <c r="X65" i="1"/>
  <c r="AD64" i="1"/>
  <c r="Z64" i="1"/>
  <c r="Y64" i="1"/>
  <c r="X64" i="1"/>
  <c r="AD63" i="1"/>
  <c r="Z63" i="1"/>
  <c r="Y63" i="1"/>
  <c r="X63" i="1"/>
  <c r="AD62" i="1"/>
  <c r="Z62" i="1"/>
  <c r="Y62" i="1"/>
  <c r="X62" i="1"/>
  <c r="AD61" i="1"/>
  <c r="Z61" i="1"/>
  <c r="Y61" i="1"/>
  <c r="X61" i="1"/>
  <c r="AD60" i="1"/>
  <c r="Z60" i="1"/>
  <c r="Y60" i="1"/>
  <c r="X60" i="1"/>
  <c r="AD59" i="1"/>
  <c r="Z59" i="1"/>
  <c r="Y59" i="1"/>
  <c r="X59" i="1"/>
  <c r="AD58" i="1"/>
  <c r="Z58" i="1"/>
  <c r="Y58" i="1"/>
  <c r="X58" i="1"/>
  <c r="AD57" i="1"/>
  <c r="Z57" i="1"/>
  <c r="Y57" i="1"/>
  <c r="X57" i="1"/>
  <c r="AD56" i="1"/>
  <c r="Z56" i="1"/>
  <c r="Y56" i="1"/>
  <c r="X56" i="1"/>
  <c r="AD55" i="1"/>
  <c r="Z55" i="1"/>
  <c r="Y55" i="1"/>
  <c r="X55" i="1"/>
  <c r="AD54" i="1"/>
  <c r="Z54" i="1"/>
  <c r="Y54" i="1"/>
  <c r="X54" i="1"/>
  <c r="AD53" i="1"/>
  <c r="Z53" i="1"/>
  <c r="Y53" i="1"/>
  <c r="X53" i="1"/>
  <c r="AD52" i="1"/>
  <c r="Z52" i="1"/>
  <c r="Y52" i="1"/>
  <c r="X52" i="1"/>
  <c r="AD51" i="1"/>
  <c r="Z51" i="1"/>
  <c r="Y51" i="1"/>
  <c r="X51" i="1"/>
  <c r="AD50" i="1"/>
  <c r="Z50" i="1"/>
  <c r="Y50" i="1"/>
  <c r="X50" i="1"/>
  <c r="AD49" i="1"/>
  <c r="Z49" i="1"/>
  <c r="Y49" i="1"/>
  <c r="X49" i="1"/>
  <c r="AD48" i="1"/>
  <c r="Z48" i="1"/>
  <c r="Y48" i="1"/>
  <c r="X48" i="1"/>
  <c r="AD47" i="1"/>
  <c r="Z47" i="1"/>
  <c r="Y47" i="1"/>
  <c r="X47" i="1"/>
  <c r="AD46" i="1"/>
  <c r="Z46" i="1"/>
  <c r="Y46" i="1"/>
  <c r="X46" i="1"/>
  <c r="AD45" i="1"/>
  <c r="Z45" i="1"/>
  <c r="Y45" i="1"/>
  <c r="X45" i="1"/>
  <c r="AD44" i="1"/>
  <c r="Z44" i="1"/>
  <c r="Y44" i="1"/>
  <c r="X44" i="1"/>
  <c r="AD43" i="1"/>
  <c r="Z43" i="1"/>
  <c r="Y43" i="1"/>
  <c r="X43" i="1"/>
  <c r="AD42" i="1"/>
  <c r="Z42" i="1"/>
  <c r="Y42" i="1"/>
  <c r="X42" i="1"/>
  <c r="AD41" i="1"/>
  <c r="Z41" i="1"/>
  <c r="Y41" i="1"/>
  <c r="X41" i="1"/>
  <c r="AD40" i="1"/>
  <c r="Z40" i="1"/>
  <c r="Y40" i="1"/>
  <c r="X40" i="1"/>
  <c r="AD39" i="1"/>
  <c r="Z39" i="1"/>
  <c r="Y39" i="1"/>
  <c r="X39" i="1"/>
  <c r="AD38" i="1"/>
  <c r="Z38" i="1"/>
  <c r="Y38" i="1"/>
  <c r="X38" i="1"/>
  <c r="AD37" i="1"/>
  <c r="Z37" i="1"/>
  <c r="Y37" i="1"/>
  <c r="X37" i="1"/>
  <c r="AD36" i="1"/>
  <c r="Z36" i="1"/>
  <c r="Y36" i="1"/>
  <c r="X36" i="1"/>
  <c r="AD35" i="1"/>
  <c r="Z35" i="1"/>
  <c r="Y35" i="1"/>
  <c r="X35" i="1"/>
  <c r="AD34" i="1"/>
  <c r="Z34" i="1"/>
  <c r="Y34" i="1"/>
  <c r="X34" i="1"/>
  <c r="AD33" i="1"/>
  <c r="Z33" i="1"/>
  <c r="Y33" i="1"/>
  <c r="X33" i="1"/>
  <c r="AD32" i="1"/>
  <c r="Z32" i="1"/>
  <c r="Y32" i="1"/>
  <c r="X32" i="1"/>
  <c r="AD31" i="1"/>
  <c r="Z31" i="1"/>
  <c r="Y31" i="1"/>
  <c r="X31" i="1"/>
  <c r="AD30" i="1"/>
  <c r="Z30" i="1"/>
  <c r="Y30" i="1"/>
  <c r="X30" i="1"/>
  <c r="AD29" i="1"/>
  <c r="Z29" i="1"/>
  <c r="Y29" i="1"/>
  <c r="X29" i="1"/>
  <c r="AD28" i="1"/>
  <c r="Z28" i="1"/>
  <c r="Y28" i="1"/>
  <c r="X28" i="1"/>
  <c r="AD27" i="1"/>
  <c r="Z27" i="1"/>
  <c r="Y27" i="1"/>
  <c r="X27" i="1"/>
  <c r="AD26" i="1"/>
  <c r="Z26" i="1"/>
  <c r="Y26" i="1"/>
  <c r="X26" i="1"/>
  <c r="AD25" i="1"/>
  <c r="Z25" i="1"/>
  <c r="Y25" i="1"/>
  <c r="X25" i="1"/>
  <c r="AD24" i="1"/>
  <c r="Z24" i="1"/>
  <c r="Y24" i="1"/>
  <c r="X24" i="1"/>
  <c r="AD23" i="1"/>
  <c r="Z23" i="1"/>
  <c r="Y23" i="1"/>
  <c r="X23" i="1"/>
  <c r="AD22" i="1"/>
  <c r="Z22" i="1"/>
  <c r="Y22" i="1"/>
  <c r="X22" i="1"/>
  <c r="AD21" i="1"/>
  <c r="Z21" i="1"/>
  <c r="Y21" i="1"/>
  <c r="X21" i="1"/>
  <c r="AD20" i="1"/>
  <c r="Z20" i="1"/>
  <c r="Y20" i="1"/>
  <c r="X20" i="1"/>
  <c r="AD19" i="1"/>
  <c r="Z19" i="1"/>
  <c r="Y19" i="1"/>
  <c r="X19" i="1"/>
  <c r="AD18" i="1"/>
  <c r="Z18" i="1"/>
  <c r="Y18" i="1"/>
  <c r="X18" i="1"/>
  <c r="AD17" i="1"/>
  <c r="Z17" i="1"/>
  <c r="Y17" i="1"/>
  <c r="X17" i="1"/>
  <c r="AD16" i="1"/>
  <c r="Z16" i="1"/>
  <c r="Y16" i="1"/>
  <c r="X16" i="1"/>
  <c r="AD15" i="1"/>
  <c r="Z15" i="1"/>
  <c r="Y15" i="1"/>
  <c r="X15" i="1"/>
  <c r="AD14" i="1"/>
  <c r="Z14" i="1"/>
  <c r="Y14" i="1"/>
  <c r="X14" i="1"/>
  <c r="AD13" i="1"/>
  <c r="Z13" i="1"/>
  <c r="Y13" i="1"/>
  <c r="X13" i="1"/>
  <c r="AD12" i="1"/>
  <c r="Z12" i="1"/>
  <c r="Y12" i="1"/>
  <c r="X12" i="1"/>
  <c r="AD11" i="1"/>
  <c r="Z11" i="1"/>
  <c r="Y11" i="1"/>
  <c r="X11" i="1"/>
  <c r="AD10" i="1"/>
  <c r="Z10" i="1"/>
  <c r="Y10" i="1"/>
  <c r="X10" i="1"/>
  <c r="AD9" i="1"/>
  <c r="Z9" i="1"/>
  <c r="Y9" i="1"/>
  <c r="X9" i="1"/>
  <c r="AD8" i="1"/>
  <c r="Z8" i="1"/>
  <c r="Y8" i="1"/>
  <c r="X8" i="1"/>
  <c r="AD7" i="1"/>
  <c r="Z7" i="1"/>
  <c r="Y7" i="1"/>
  <c r="X7" i="1"/>
  <c r="AD6" i="1"/>
  <c r="Z6" i="1"/>
  <c r="A12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7" i="1"/>
  <c r="A23" i="1"/>
  <c r="A24" i="1"/>
  <c r="A32" i="1"/>
  <c r="I34" i="1" a="1"/>
  <c r="I48" i="1" a="1"/>
  <c r="A55" i="1"/>
  <c r="A56" i="1"/>
  <c r="I72" i="1" a="1"/>
  <c r="I93" i="1" a="1"/>
  <c r="J96" i="1"/>
  <c r="K96" i="1" s="1"/>
  <c r="A99" i="1"/>
  <c r="A76" i="1" l="1"/>
  <c r="A75" i="1"/>
  <c r="A43" i="1"/>
  <c r="A33" i="1"/>
  <c r="I99" i="1" a="1"/>
  <c r="A97" i="1"/>
  <c r="A65" i="1"/>
  <c r="I97" i="1" a="1"/>
  <c r="J86" i="1"/>
  <c r="K86" i="1" s="1"/>
  <c r="J75" i="1"/>
  <c r="K75" i="1" s="1"/>
  <c r="I65" i="1" a="1"/>
  <c r="J54" i="1"/>
  <c r="K54" i="1" s="1"/>
  <c r="J97" i="1"/>
  <c r="K97" i="1" s="1"/>
  <c r="J43" i="1"/>
  <c r="K43" i="1" s="1"/>
  <c r="I43" i="1" a="1"/>
  <c r="J33" i="1"/>
  <c r="K33" i="1" s="1"/>
  <c r="I33" i="1" a="1"/>
  <c r="J30" i="1"/>
  <c r="K30" i="1" s="1"/>
  <c r="I30" i="1" a="1"/>
  <c r="I64" i="1" a="1"/>
  <c r="J52" i="1"/>
  <c r="K52" i="1" s="1"/>
  <c r="I45" i="1" a="1"/>
  <c r="J44" i="1"/>
  <c r="K44" i="1" s="1"/>
  <c r="J64" i="1"/>
  <c r="K64" i="1" s="1"/>
  <c r="I44" i="1" a="1"/>
  <c r="J42" i="1"/>
  <c r="K42" i="1" s="1"/>
  <c r="I42" i="1" a="1"/>
  <c r="A98" i="1"/>
  <c r="J40" i="1"/>
  <c r="K40" i="1" s="1"/>
  <c r="J98" i="1"/>
  <c r="K98" i="1" s="1"/>
  <c r="I40" i="1" a="1"/>
  <c r="A85" i="1"/>
  <c r="I98" i="1" a="1"/>
  <c r="J32" i="1"/>
  <c r="K32" i="1" s="1"/>
  <c r="I32" i="1" a="1"/>
  <c r="A64" i="1"/>
  <c r="J92" i="1"/>
  <c r="K92" i="1" s="1"/>
  <c r="I96" i="1" a="1"/>
  <c r="I86" i="1" a="1"/>
  <c r="J21" i="1"/>
  <c r="K21" i="1" s="1"/>
  <c r="A11" i="1"/>
  <c r="J77" i="1"/>
  <c r="K77" i="1" s="1"/>
  <c r="I77" i="1" a="1"/>
  <c r="J76" i="1"/>
  <c r="K76" i="1" s="1"/>
  <c r="I76" i="1" a="1"/>
  <c r="I75" i="1" a="1"/>
  <c r="J66" i="1"/>
  <c r="K66" i="1" s="1"/>
  <c r="I66" i="1" a="1"/>
  <c r="J65" i="1"/>
  <c r="K65" i="1" s="1"/>
  <c r="J100" i="1"/>
  <c r="K100" i="1" s="1"/>
  <c r="J99" i="1"/>
  <c r="K99" i="1" s="1"/>
  <c r="J69" i="1"/>
  <c r="K69" i="1" s="1"/>
  <c r="I68" i="1" a="1"/>
  <c r="J67" i="1"/>
  <c r="K67" i="1" s="1"/>
  <c r="A96" i="1"/>
  <c r="I67" i="1" a="1"/>
  <c r="A81" i="1"/>
  <c r="A78" i="1"/>
  <c r="A77" i="1"/>
  <c r="I91" i="1" a="1"/>
  <c r="A66" i="1"/>
  <c r="J56" i="1"/>
  <c r="K56" i="1" s="1"/>
  <c r="A53" i="1"/>
  <c r="I88" i="1" a="1"/>
  <c r="I56" i="1" a="1"/>
  <c r="I20" i="1" a="1"/>
  <c r="A49" i="1"/>
  <c r="I90" i="1" a="1"/>
  <c r="J87" i="1"/>
  <c r="K87" i="1" s="1"/>
  <c r="J55" i="1"/>
  <c r="K55" i="1" s="1"/>
  <c r="J19" i="1"/>
  <c r="K19" i="1" s="1"/>
  <c r="A46" i="1"/>
  <c r="J88" i="1"/>
  <c r="K88" i="1" s="1"/>
  <c r="I21" i="1" a="1"/>
  <c r="I87" i="1" a="1"/>
  <c r="I55" i="1" a="1"/>
  <c r="A45" i="1"/>
  <c r="J27" i="1"/>
  <c r="K27" i="1" s="1"/>
  <c r="J17" i="1"/>
  <c r="K17" i="1" s="1"/>
  <c r="A44" i="1"/>
  <c r="I89" i="1" a="1"/>
  <c r="J15" i="1"/>
  <c r="K15" i="1" s="1"/>
  <c r="J85" i="1"/>
  <c r="K85" i="1" s="1"/>
  <c r="I54" i="1" a="1"/>
  <c r="A34" i="1"/>
  <c r="I85" i="1" a="1"/>
  <c r="J53" i="1"/>
  <c r="K53" i="1" s="1"/>
  <c r="J13" i="1"/>
  <c r="K13" i="1" s="1"/>
  <c r="I81" i="1" a="1"/>
  <c r="I53" i="1" a="1"/>
  <c r="J12" i="1"/>
  <c r="K12" i="1" s="1"/>
  <c r="A21" i="1"/>
  <c r="I80" i="1" a="1"/>
  <c r="J79" i="1"/>
  <c r="K79" i="1" s="1"/>
  <c r="I52" i="1" a="1"/>
  <c r="A17" i="1"/>
  <c r="A14" i="1"/>
  <c r="J89" i="1"/>
  <c r="K89" i="1" s="1"/>
  <c r="I78" i="1" a="1"/>
  <c r="J45" i="1"/>
  <c r="K45" i="1" s="1"/>
  <c r="A13" i="1"/>
  <c r="I9" i="1" a="1"/>
  <c r="I92" i="1" a="1"/>
  <c r="I69" i="1" a="1"/>
  <c r="J57" i="1"/>
  <c r="K57" i="1" s="1"/>
  <c r="A84" i="1"/>
  <c r="A52" i="1"/>
  <c r="A20" i="1"/>
  <c r="J91" i="1"/>
  <c r="K91" i="1" s="1"/>
  <c r="J80" i="1"/>
  <c r="K80" i="1" s="1"/>
  <c r="J68" i="1"/>
  <c r="K68" i="1" s="1"/>
  <c r="I57" i="1" a="1"/>
  <c r="J20" i="1"/>
  <c r="K20" i="1" s="1"/>
  <c r="A83" i="1"/>
  <c r="A51" i="1"/>
  <c r="A19" i="1"/>
  <c r="A82" i="1"/>
  <c r="A50" i="1"/>
  <c r="A18" i="1"/>
  <c r="J90" i="1"/>
  <c r="K90" i="1" s="1"/>
  <c r="I79" i="1" a="1"/>
  <c r="J31" i="1"/>
  <c r="K31" i="1" s="1"/>
  <c r="I19" i="1" a="1"/>
  <c r="A80" i="1"/>
  <c r="A48" i="1"/>
  <c r="A16" i="1"/>
  <c r="J78" i="1"/>
  <c r="K78" i="1" s="1"/>
  <c r="I31" i="1" a="1"/>
  <c r="J18" i="1"/>
  <c r="K18" i="1" s="1"/>
  <c r="A79" i="1"/>
  <c r="A47" i="1"/>
  <c r="A15" i="1"/>
  <c r="I100" i="1" a="1"/>
  <c r="J41" i="1"/>
  <c r="K41" i="1" s="1"/>
  <c r="J29" i="1"/>
  <c r="K29" i="1" s="1"/>
  <c r="I17" i="1" a="1"/>
  <c r="A74" i="1"/>
  <c r="A42" i="1"/>
  <c r="A10" i="1"/>
  <c r="I41" i="1" a="1"/>
  <c r="I29" i="1" a="1"/>
  <c r="A73" i="1"/>
  <c r="A41" i="1"/>
  <c r="A9" i="1"/>
  <c r="J28" i="1"/>
  <c r="K28" i="1" s="1"/>
  <c r="J16" i="1"/>
  <c r="K16" i="1" s="1"/>
  <c r="A72" i="1"/>
  <c r="A40" i="1"/>
  <c r="A8" i="1"/>
  <c r="I28" i="1" a="1"/>
  <c r="I16" i="1" a="1"/>
  <c r="A71" i="1"/>
  <c r="A39" i="1"/>
  <c r="A70" i="1"/>
  <c r="A38" i="1"/>
  <c r="J63" i="1"/>
  <c r="K63" i="1" s="1"/>
  <c r="J51" i="1"/>
  <c r="K51" i="1" s="1"/>
  <c r="J39" i="1"/>
  <c r="K39" i="1" s="1"/>
  <c r="I27" i="1" a="1"/>
  <c r="I15" i="1" a="1"/>
  <c r="A69" i="1"/>
  <c r="A37" i="1"/>
  <c r="J74" i="1"/>
  <c r="K74" i="1" s="1"/>
  <c r="I63" i="1" a="1"/>
  <c r="I51" i="1" a="1"/>
  <c r="I39" i="1" a="1"/>
  <c r="J26" i="1"/>
  <c r="K26" i="1" s="1"/>
  <c r="J14" i="1"/>
  <c r="K14" i="1" s="1"/>
  <c r="A100" i="1"/>
  <c r="A68" i="1"/>
  <c r="A36" i="1"/>
  <c r="J62" i="1"/>
  <c r="K62" i="1" s="1"/>
  <c r="J50" i="1"/>
  <c r="K50" i="1" s="1"/>
  <c r="J38" i="1"/>
  <c r="K38" i="1" s="1"/>
  <c r="A67" i="1"/>
  <c r="A35" i="1"/>
  <c r="I74" i="1" a="1"/>
  <c r="I26" i="1" a="1"/>
  <c r="I14" i="1" a="1"/>
  <c r="I62" i="1" a="1"/>
  <c r="J25" i="1"/>
  <c r="K25" i="1" s="1"/>
  <c r="J84" i="1"/>
  <c r="K84" i="1" s="1"/>
  <c r="I73" i="1" a="1"/>
  <c r="J61" i="1"/>
  <c r="K61" i="1" s="1"/>
  <c r="J49" i="1"/>
  <c r="K49" i="1" s="1"/>
  <c r="J37" i="1"/>
  <c r="K37" i="1" s="1"/>
  <c r="I25" i="1" a="1"/>
  <c r="I13" i="1" a="1"/>
  <c r="A95" i="1"/>
  <c r="A63" i="1"/>
  <c r="A31" i="1"/>
  <c r="I18" i="1" a="1"/>
  <c r="I50" i="1" a="1"/>
  <c r="I37" i="1" a="1"/>
  <c r="A62" i="1"/>
  <c r="A30" i="1"/>
  <c r="J95" i="1"/>
  <c r="K95" i="1" s="1"/>
  <c r="J83" i="1"/>
  <c r="K83" i="1" s="1"/>
  <c r="J72" i="1"/>
  <c r="K72" i="1" s="1"/>
  <c r="J60" i="1"/>
  <c r="K60" i="1" s="1"/>
  <c r="J36" i="1"/>
  <c r="K36" i="1" s="1"/>
  <c r="J24" i="1"/>
  <c r="K24" i="1" s="1"/>
  <c r="I12" i="1" a="1"/>
  <c r="A93" i="1"/>
  <c r="A61" i="1"/>
  <c r="A29" i="1"/>
  <c r="I84" i="1" a="1"/>
  <c r="I95" i="1" a="1"/>
  <c r="I83" i="1" a="1"/>
  <c r="I60" i="1" a="1"/>
  <c r="J48" i="1"/>
  <c r="K48" i="1" s="1"/>
  <c r="I36" i="1" a="1"/>
  <c r="I24" i="1" a="1"/>
  <c r="J11" i="1"/>
  <c r="K11" i="1" s="1"/>
  <c r="A92" i="1"/>
  <c r="A60" i="1"/>
  <c r="A28" i="1"/>
  <c r="I49" i="1" a="1"/>
  <c r="J94" i="1"/>
  <c r="K94" i="1" s="1"/>
  <c r="J71" i="1"/>
  <c r="K71" i="1" s="1"/>
  <c r="J59" i="1"/>
  <c r="K59" i="1" s="1"/>
  <c r="J35" i="1"/>
  <c r="K35" i="1" s="1"/>
  <c r="J23" i="1"/>
  <c r="K23" i="1" s="1"/>
  <c r="I11" i="1" a="1"/>
  <c r="A91" i="1"/>
  <c r="A59" i="1"/>
  <c r="A27" i="1"/>
  <c r="J73" i="1"/>
  <c r="K73" i="1" s="1"/>
  <c r="I61" i="1" a="1"/>
  <c r="J82" i="1"/>
  <c r="K82" i="1" s="1"/>
  <c r="I71" i="1" a="1"/>
  <c r="I59" i="1" a="1"/>
  <c r="J47" i="1"/>
  <c r="K47" i="1" s="1"/>
  <c r="I35" i="1" a="1"/>
  <c r="I23" i="1" a="1"/>
  <c r="J10" i="1"/>
  <c r="K10" i="1" s="1"/>
  <c r="A90" i="1"/>
  <c r="A58" i="1"/>
  <c r="A26" i="1"/>
  <c r="I94" i="1" a="1"/>
  <c r="J70" i="1"/>
  <c r="K70" i="1" s="1"/>
  <c r="I47" i="1" a="1"/>
  <c r="J34" i="1"/>
  <c r="K34" i="1" s="1"/>
  <c r="J22" i="1"/>
  <c r="K22" i="1" s="1"/>
  <c r="A89" i="1"/>
  <c r="A57" i="1"/>
  <c r="A25" i="1"/>
  <c r="I82" i="1" a="1"/>
  <c r="J58" i="1"/>
  <c r="K58" i="1" s="1"/>
  <c r="J46" i="1"/>
  <c r="K46" i="1" s="1"/>
  <c r="I10" i="1" a="1"/>
  <c r="A88" i="1"/>
  <c r="A94" i="1"/>
  <c r="J93" i="1"/>
  <c r="K93" i="1" s="1"/>
  <c r="I70" i="1" a="1"/>
  <c r="I22" i="1" a="1"/>
  <c r="A87" i="1"/>
  <c r="I38" i="1" a="1"/>
  <c r="J81" i="1"/>
  <c r="K81" i="1" s="1"/>
  <c r="I58" i="1" a="1"/>
  <c r="I46" i="1" a="1"/>
  <c r="J9" i="1"/>
  <c r="K9" i="1" s="1"/>
  <c r="A86" i="1"/>
  <c r="A54" i="1"/>
  <c r="A22" i="1"/>
  <c r="J8" i="1"/>
  <c r="K8" i="1" s="1"/>
  <c r="I8" i="1" a="1"/>
  <c r="J7" i="1"/>
  <c r="K7" i="1" s="1"/>
  <c r="I7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A6" i="1" l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<sst xmlns="http://schemas.openxmlformats.org/spreadsheetml/2006/main" count="268" uniqueCount="182">
  <si>
    <t>basic</t>
    <phoneticPr fontId="1"/>
  </si>
  <si>
    <t>sample</t>
    <phoneticPr fontId="1"/>
  </si>
  <si>
    <t>sample</t>
  </si>
  <si>
    <t>sample.general</t>
    <phoneticPr fontId="1"/>
  </si>
  <si>
    <t>custom</t>
  </si>
  <si>
    <t>dataset_title</t>
    <phoneticPr fontId="1"/>
  </si>
  <si>
    <t>dataOwner</t>
    <phoneticPr fontId="1"/>
  </si>
  <si>
    <t>dataOwnerId</t>
    <phoneticPr fontId="1"/>
  </si>
  <si>
    <t>dataName</t>
  </si>
  <si>
    <t>experimentId</t>
    <phoneticPr fontId="1"/>
  </si>
  <si>
    <t>description</t>
    <phoneticPr fontId="1"/>
  </si>
  <si>
    <t>names</t>
    <phoneticPr fontId="1"/>
  </si>
  <si>
    <t>sampleId</t>
    <phoneticPr fontId="1"/>
  </si>
  <si>
    <t>composition</t>
    <phoneticPr fontId="1"/>
  </si>
  <si>
    <t>ownerId</t>
    <phoneticPr fontId="1"/>
  </si>
  <si>
    <t>referenceUrl</t>
  </si>
  <si>
    <t>description</t>
  </si>
  <si>
    <t>general-name</t>
    <phoneticPr fontId="1"/>
  </si>
  <si>
    <t>sample-shape</t>
    <phoneticPr fontId="1"/>
  </si>
  <si>
    <t>purchase-date</t>
    <phoneticPr fontId="1"/>
  </si>
  <si>
    <t>supplier</t>
    <phoneticPr fontId="1"/>
  </si>
  <si>
    <t>lot-number-or-product-number-etc</t>
    <phoneticPr fontId="1"/>
  </si>
  <si>
    <t>データセット名</t>
    <rPh sb="6" eb="7">
      <t>メイ</t>
    </rPh>
    <phoneticPr fontId="1"/>
  </si>
  <si>
    <r>
      <t xml:space="preserve">データ所有者
</t>
    </r>
    <r>
      <rPr>
        <b/>
        <sz val="12"/>
        <color rgb="FFFF0000"/>
        <rFont val="メイリオ"/>
        <family val="3"/>
        <charset val="128"/>
      </rPr>
      <t>(選択必須)</t>
    </r>
    <rPh sb="3" eb="6">
      <t>ショユウシャ</t>
    </rPh>
    <rPh sb="8" eb="12">
      <t>センタクヒッス</t>
    </rPh>
    <phoneticPr fontId="1"/>
  </si>
  <si>
    <t>実験ID</t>
    <rPh sb="0" eb="2">
      <t>ジッケン</t>
    </rPh>
    <phoneticPr fontId="1"/>
  </si>
  <si>
    <t>説明</t>
    <rPh sb="0" eb="2">
      <t>セツメイ</t>
    </rPh>
    <phoneticPr fontId="1"/>
  </si>
  <si>
    <t>化学式・組成式・分子式など</t>
    <phoneticPr fontId="1"/>
  </si>
  <si>
    <r>
      <t xml:space="preserve">試料管理者
</t>
    </r>
    <r>
      <rPr>
        <b/>
        <sz val="12"/>
        <color rgb="FFFF0000"/>
        <rFont val="メイリオ"/>
        <family val="3"/>
        <charset val="128"/>
      </rPr>
      <t>(選択必須)</t>
    </r>
    <rPh sb="0" eb="5">
      <t>シリョウカンリシャ</t>
    </rPh>
    <rPh sb="7" eb="9">
      <t>センタク</t>
    </rPh>
    <rPh sb="9" eb="11">
      <t>ヒッス</t>
    </rPh>
    <phoneticPr fontId="1"/>
  </si>
  <si>
    <t>参考URL</t>
  </si>
  <si>
    <t>試料の説明</t>
  </si>
  <si>
    <t>一般名称</t>
    <rPh sb="0" eb="2">
      <t>イッパン</t>
    </rPh>
    <rPh sb="2" eb="4">
      <t>メイショウ</t>
    </rPh>
    <phoneticPr fontId="1"/>
  </si>
  <si>
    <t>試料形状</t>
    <rPh sb="0" eb="2">
      <t>シリョウ</t>
    </rPh>
    <rPh sb="2" eb="4">
      <t>ケイジョウ</t>
    </rPh>
    <phoneticPr fontId="1"/>
  </si>
  <si>
    <t>試料購入日</t>
    <rPh sb="0" eb="2">
      <t>シリョウ</t>
    </rPh>
    <rPh sb="2" eb="4">
      <t>コウニュウ</t>
    </rPh>
    <rPh sb="4" eb="5">
      <t>ビ</t>
    </rPh>
    <phoneticPr fontId="1"/>
  </si>
  <si>
    <t>購入元</t>
    <rPh sb="0" eb="2">
      <t>コウニュウ</t>
    </rPh>
    <rPh sb="2" eb="3">
      <t>モト</t>
    </rPh>
    <phoneticPr fontId="1"/>
  </si>
  <si>
    <t>ロット番号、製造番号など</t>
    <rPh sb="3" eb="5">
      <t>バンゴウ</t>
    </rPh>
    <rPh sb="6" eb="10">
      <t>セイゾウバンゴウ</t>
    </rPh>
    <phoneticPr fontId="1"/>
  </si>
  <si>
    <t>sample_class_id</t>
    <phoneticPr fontId="1"/>
  </si>
  <si>
    <t>term_id</t>
  </si>
  <si>
    <t>key_name</t>
  </si>
  <si>
    <t>01cb3c01-37a4-5a43-d8ca-f523ca99a75b</t>
  </si>
  <si>
    <t>3250c45d-0ed6-1438-43b5-eb679918604a</t>
  </si>
  <si>
    <t>sample.specific.organic.chemical-formula</t>
  </si>
  <si>
    <t>70c2c751-5404-19b7-4a5e-981e6cebbb15</t>
  </si>
  <si>
    <t>sample.specific.organic.name</t>
  </si>
  <si>
    <t>e2d20d02-2e38-2cd3-b1b3-66fdb8a11057</t>
  </si>
  <si>
    <t>sample.specific.organic.cas-number</t>
  </si>
  <si>
    <t>518e26a0-4262-86f5-3598-80e18e6ff2af</t>
  </si>
  <si>
    <t>sample.specific.organic.pubchem</t>
  </si>
  <si>
    <t>3a775d54-5c13-fe66-6405-29c05bc931ce</t>
  </si>
  <si>
    <t>sample.specific.organic.viscosity</t>
  </si>
  <si>
    <t>659da80e-c2ee-2986-41ce-68201b3bc4dd</t>
  </si>
  <si>
    <t>sample.specific.organic.boiling-point</t>
  </si>
  <si>
    <t>4efc4c3b-727c-c752-cf28-701b55dba1af</t>
  </si>
  <si>
    <t>sample.specific.organic.melting-temperature</t>
  </si>
  <si>
    <t>932e4fe1-9724-305f-ffc5-1908c31c83e5</t>
  </si>
  <si>
    <t>sample.specific.inorganic.name</t>
  </si>
  <si>
    <t>sample.specific.inorganic.chemical-formula</t>
  </si>
  <si>
    <t>f63149a4-e57c-4273-4c1e-dffa41356d28</t>
  </si>
  <si>
    <t>sample.specific.inorganic.space-group</t>
  </si>
  <si>
    <t>a674a8ef-efa8-9497-4ed4-74de55fafddb</t>
  </si>
  <si>
    <t>sample.specific.metals.chemical-formula</t>
  </si>
  <si>
    <t>sample.specific.metals.name</t>
  </si>
  <si>
    <t>sample.specific.metals.cas-number</t>
  </si>
  <si>
    <t>sample.specific.metals.space-group</t>
  </si>
  <si>
    <t>efcf34e7-4308-c195-6691-6f4d28ffc9bb</t>
  </si>
  <si>
    <t>sample.specific.metals.crystal-structure</t>
  </si>
  <si>
    <t>sample.specific.metals.boiling-point</t>
  </si>
  <si>
    <t>sample.specific.metals.melting-temperature</t>
  </si>
  <si>
    <t>342ba516-4d02-171c-9bc4-70a3134b47a8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</si>
  <si>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</si>
  <si>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</si>
  <si>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</si>
  <si>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</si>
  <si>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</si>
  <si>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52148afb-6759-23e8-c8b8-33912ec5bfcf</t>
  </si>
  <si>
    <t>sample.specific.semiconductors.name</t>
  </si>
  <si>
    <t>961c9637-9b83-0e9d-e60e-ffc1e2517afd</t>
  </si>
  <si>
    <t>sample.specific.ceramics.name</t>
  </si>
  <si>
    <t>0dde5969-3039-739b-b33b-97df40450790</t>
  </si>
  <si>
    <t>sample.specific.biological.name</t>
  </si>
  <si>
    <t>dc27a956-263e-f920-e574-5beec912a247</t>
  </si>
  <si>
    <t>sample.specific.organic-material.molecular-weight</t>
  </si>
  <si>
    <t>efc6a0d5-313e-1871-190c-baaff7d1bf6c</t>
  </si>
  <si>
    <t>sample.specific.organic-material.SMILES-String</t>
  </si>
  <si>
    <t>0444cf53-db47-b208-7b5f-54429291a140</t>
  </si>
  <si>
    <t>sample.specific.biological.sample-type</t>
  </si>
  <si>
    <t>fc30c31d-12a3-591a-c837-4f06ab458de0</t>
  </si>
  <si>
    <t>sample.specific.biological.taxonomy</t>
  </si>
  <si>
    <t>9a23002a-c398-e521-081a-24b6cd32dbbd</t>
  </si>
  <si>
    <t>sample.specific.biological.cell-line</t>
  </si>
  <si>
    <t>b4ce4016-e2bf-e5a1-7cae-ed496c7a776f</t>
  </si>
  <si>
    <t>sample.specific.biological.protein-name</t>
  </si>
  <si>
    <t>8c9b1a88-1530-24d3-4b2e-5441eee5c24f</t>
  </si>
  <si>
    <t>sample.specific.biological.gene-name</t>
  </si>
  <si>
    <t>047e30f3-f294-e58d-cbe4-6bb588bf4cf8</t>
  </si>
  <si>
    <t>sample.specific.biological.ncbi-accession-number</t>
  </si>
  <si>
    <t>9270879d-d94e-4d3f-2d5c-19568e040004</t>
  </si>
  <si>
    <t>sample.specific.organic-material.inchi</t>
  </si>
  <si>
    <t>3edadcff-8a85-51d9-708f-8f76bf055377</t>
  </si>
  <si>
    <t>sample.specific.organic-material.inchi-key</t>
  </si>
  <si>
    <t>33c6e9dc-5787-0f96-7683-f39281c60419</t>
  </si>
  <si>
    <t>sample.general.composiiton</t>
  </si>
  <si>
    <t>f2d5e89e-01f0-66a2-5d8e-623a4fc31698</t>
  </si>
  <si>
    <t>sample.general.material-name</t>
  </si>
  <si>
    <t>a7a6fc7b-ed46-88b0-bba8-a1e34857a049</t>
  </si>
  <si>
    <t>sample.general.sample-alias</t>
  </si>
  <si>
    <t>sample.general.cas-number</t>
  </si>
  <si>
    <t>1e70d11d-cbdd-bfd1-9301-9612c29b4060</t>
  </si>
  <si>
    <t>sample.general.purchase-date</t>
    <phoneticPr fontId="1"/>
  </si>
  <si>
    <t>1d3cab05-3eaa-cb9b-9a3f-20eb0ca26963</t>
  </si>
  <si>
    <t>sample.general.crystalline-state</t>
  </si>
  <si>
    <t>sample.general.crystal-structure</t>
    <phoneticPr fontId="1"/>
  </si>
  <si>
    <t>e9617207-7f74-ef45-9b05-74eef6e4ecbb</t>
  </si>
  <si>
    <t>sample.general.pearson-symbol</t>
  </si>
  <si>
    <t>sample.general.space-group</t>
  </si>
  <si>
    <t>7cc57dfb-8b70-4b3a-5315-fbce4cbf73d0</t>
  </si>
  <si>
    <t>sample.general.sample-shape</t>
    <phoneticPr fontId="1"/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</si>
  <si>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</si>
  <si>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</si>
  <si>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</si>
  <si>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</si>
  <si>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</si>
  <si>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</si>
  <si>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</si>
  <si>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</si>
  <si>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</si>
  <si>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</si>
  <si>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3adf9874-7bcb-e5f8-99cb-3d6fd9d7b55e</t>
  </si>
  <si>
    <t>sample.general.general-name</t>
  </si>
  <si>
    <t>0aadfff2-37de-411f-883a-38b62b2abbce</t>
  </si>
  <si>
    <t>sample.general.chemical-composition</t>
    <phoneticPr fontId="1"/>
  </si>
  <si>
    <t>5e166ac4-bfcd-457a-84bc-8626abe9188f</t>
  </si>
  <si>
    <t>sample.general.supplier</t>
    <phoneticPr fontId="1"/>
  </si>
  <si>
    <t>0d0417a3-3c3b-496a-b0fb-5a26f8a74166</t>
  </si>
  <si>
    <t>sample.general.lot-number-or-product-number-etc</t>
    <phoneticPr fontId="1"/>
  </si>
  <si>
    <r>
      <t xml:space="preserve">試料UUID
</t>
    </r>
    <r>
      <rPr>
        <b/>
        <sz val="12"/>
        <color rgb="FFFF0000"/>
        <rFont val="メイリオ"/>
        <family val="3"/>
        <charset val="128"/>
      </rPr>
      <t>※登録済の試料を使用するときは
UUIDを入力してください</t>
    </r>
    <rPh sb="0" eb="2">
      <t>シリョウ</t>
    </rPh>
    <rPh sb="8" eb="10">
      <t>トウロク</t>
    </rPh>
    <rPh sb="10" eb="11">
      <t>スミ</t>
    </rPh>
    <rPh sb="12" eb="14">
      <t>シリョウ</t>
    </rPh>
    <rPh sb="15" eb="17">
      <t>シヨウ</t>
    </rPh>
    <rPh sb="28" eb="30">
      <t>ニュウリョク</t>
    </rPh>
    <phoneticPr fontId="1"/>
  </si>
  <si>
    <t>v1.0</t>
    <phoneticPr fontId="1"/>
  </si>
  <si>
    <r>
      <t xml:space="preserve">試料管理者UUID
</t>
    </r>
    <r>
      <rPr>
        <b/>
        <sz val="12"/>
        <color theme="1"/>
        <rFont val="メイリオ"/>
        <family val="3"/>
        <charset val="128"/>
      </rPr>
      <t>(必須)
※試料管理者を入力したら自動で表示されます</t>
    </r>
    <rPh sb="0" eb="2">
      <t>シリョウ</t>
    </rPh>
    <rPh sb="2" eb="5">
      <t>カンリシャ</t>
    </rPh>
    <rPh sb="11" eb="13">
      <t>ヒッス</t>
    </rPh>
    <rPh sb="16" eb="21">
      <t>シリョウカンリシャ</t>
    </rPh>
    <phoneticPr fontId="1"/>
  </si>
  <si>
    <r>
      <t xml:space="preserve">NIMS user UUID
</t>
    </r>
    <r>
      <rPr>
        <b/>
        <sz val="12"/>
        <color theme="1"/>
        <rFont val="メイリオ"/>
        <family val="3"/>
        <charset val="128"/>
      </rPr>
      <t>(必須)
※データ所有者を入力したら自動で表示されます</t>
    </r>
    <rPh sb="16" eb="18">
      <t>ヒッス</t>
    </rPh>
    <rPh sb="24" eb="27">
      <t>ショユウシャ</t>
    </rPh>
    <rPh sb="28" eb="30">
      <t>ニュウリョク</t>
    </rPh>
    <rPh sb="33" eb="35">
      <t>ジドウ</t>
    </rPh>
    <rPh sb="36" eb="38">
      <t>ヒョウジ</t>
    </rPh>
    <phoneticPr fontId="1"/>
  </si>
  <si>
    <t>invoiceList_format_id</t>
    <phoneticPr fontId="13"/>
  </si>
  <si>
    <t>00000000000000000000000000000000000000000000000000000001</t>
    <phoneticPr fontId="1"/>
  </si>
  <si>
    <t>RDE,User01</t>
    <phoneticPr fontId="1"/>
  </si>
  <si>
    <t>00000000000000000000000000000000000000000000000000000002</t>
    <phoneticPr fontId="1"/>
  </si>
  <si>
    <t>RDE,User02</t>
    <phoneticPr fontId="1"/>
  </si>
  <si>
    <t>RDEユーザー名</t>
    <phoneticPr fontId="1"/>
  </si>
  <si>
    <t>RDEユーザーID</t>
    <phoneticPr fontId="1"/>
  </si>
  <si>
    <t>ユーザー名とIDの表示場所</t>
    <rPh sb="4" eb="5">
      <t>メイ</t>
    </rPh>
    <rPh sb="9" eb="13">
      <t>ヒョウ</t>
    </rPh>
    <phoneticPr fontId="1"/>
  </si>
  <si>
    <t>basic</t>
  </si>
  <si>
    <t>データ名
(必須)</t>
  </si>
  <si>
    <t>ファイル名</t>
    <rPh sb="4" eb="5">
      <t>メイ</t>
    </rPh>
    <phoneticPr fontId="1"/>
  </si>
  <si>
    <t>00000000000000000000000000000000000000000000000000000003</t>
    <phoneticPr fontId="1"/>
  </si>
  <si>
    <t>RDE,User03</t>
    <phoneticPr fontId="1"/>
  </si>
  <si>
    <t>RDE,User04</t>
    <phoneticPr fontId="1"/>
  </si>
  <si>
    <t>00000000000000000000000000000000000000000000000000000004</t>
    <phoneticPr fontId="1"/>
  </si>
  <si>
    <r>
      <t>試料名</t>
    </r>
    <r>
      <rPr>
        <b/>
        <sz val="12"/>
        <color theme="1"/>
        <rFont val="メイリオ"/>
        <family val="3"/>
        <charset val="128"/>
      </rPr>
      <t>(ローカルID)</t>
    </r>
    <r>
      <rPr>
        <b/>
        <sz val="12"/>
        <color rgb="FFFF0000"/>
        <rFont val="メイリオ"/>
        <family val="3"/>
        <charset val="128"/>
      </rPr>
      <t>(必須)</t>
    </r>
    <rPh sb="0" eb="3">
      <t>シリョウメイ</t>
    </rPh>
    <rPh sb="12" eb="14">
      <t>ヒッス</t>
    </rPh>
    <phoneticPr fontId="1"/>
  </si>
  <si>
    <t>name</t>
    <phoneticPr fontId="13"/>
  </si>
  <si>
    <t>data_file_names</t>
    <phoneticPr fontId="13"/>
  </si>
  <si>
    <t>CrossBeam550_自動_1.tif</t>
    <phoneticPr fontId="13"/>
  </si>
  <si>
    <t xml:space="preserve"> CrossBeam550_手動_1.tif</t>
    <phoneticPr fontId="13"/>
  </si>
  <si>
    <t>id</t>
    <phoneticPr fontId="13"/>
  </si>
  <si>
    <t>mode</t>
    <phoneticPr fontId="1"/>
  </si>
  <si>
    <t>Auto</t>
    <phoneticPr fontId="13"/>
  </si>
  <si>
    <t>Manual</t>
    <phoneticPr fontId="13"/>
  </si>
  <si>
    <t>method_category</t>
    <phoneticPr fontId="1"/>
  </si>
  <si>
    <t>計測法カテゴリー</t>
    <phoneticPr fontId="13"/>
  </si>
  <si>
    <t>顕微法</t>
  </si>
  <si>
    <t>顕微法</t>
    <phoneticPr fontId="13"/>
  </si>
  <si>
    <t>method_sub-category</t>
    <phoneticPr fontId="13"/>
  </si>
  <si>
    <t>計測法サブカテゴリー</t>
    <phoneticPr fontId="13"/>
  </si>
  <si>
    <t>走査電子顕微鏡</t>
    <phoneticPr fontId="13"/>
  </si>
  <si>
    <t>measurement_environment</t>
    <phoneticPr fontId="13"/>
  </si>
  <si>
    <t>測定環境</t>
    <phoneticPr fontId="13"/>
  </si>
  <si>
    <t>energy_level_transition_structure</t>
    <phoneticPr fontId="13"/>
  </si>
  <si>
    <t>対象準位_遷移_構造</t>
    <phoneticPr fontId="13"/>
  </si>
  <si>
    <t>measured_date</t>
    <phoneticPr fontId="13"/>
  </si>
  <si>
    <t>分析年月日</t>
    <phoneticPr fontId="13"/>
  </si>
  <si>
    <t>standardized_procedure</t>
    <phoneticPr fontId="13"/>
  </si>
  <si>
    <t>標準手順</t>
    <phoneticPr fontId="13"/>
  </si>
  <si>
    <t>instrumentation_site</t>
    <phoneticPr fontId="13"/>
  </si>
  <si>
    <t>装置設置場所</t>
    <phoneticPr fontId="13"/>
  </si>
  <si>
    <t>reference</t>
    <phoneticPr fontId="13"/>
  </si>
  <si>
    <t>RDE,User01</t>
  </si>
  <si>
    <t>TEST_CB550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</si>
</sst>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6"/>
      <name val="メイリオ"/>
      <family val="3"/>
      <charset val="128"/>
    </font>
    <font>
      <sz val="14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5"/>
      <color theme="1"/>
      <name val="メイリオ"/>
      <family val="3"/>
      <charset val="128"/>
    </font>
    <font>
      <b/>
      <sz val="15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12"/>
      <color theme="0"/>
      <name val="メイリオ"/>
      <family val="3"/>
      <charset val="128"/>
    </font>
    <font>
      <b/>
      <sz val="12"/>
      <color rgb="FFFF0000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thin">
        <color theme="0"/>
      </right>
      <top style="medium">
        <color theme="2" tint="-9.9978637043366805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2" tint="-9.9978637043366805E-2"/>
      </top>
      <bottom style="thin">
        <color theme="0"/>
      </bottom>
      <diagonal/>
    </border>
    <border>
      <left style="thin">
        <color theme="0"/>
      </left>
      <right style="medium">
        <color theme="2" tint="-9.9978637043366805E-2"/>
      </right>
      <top style="medium">
        <color theme="2" tint="-9.9978637043366805E-2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0"/>
      </left>
      <right/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 style="thin">
        <color theme="0"/>
      </bottom>
      <diagonal/>
    </border>
    <border>
      <left style="thin">
        <color theme="2" tint="-9.9978637043366805E-2"/>
      </left>
      <right style="medium">
        <color theme="2" tint="-9.9978637043366805E-2"/>
      </right>
      <top/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/>
      <top style="thin">
        <color theme="0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CFCCCC"/>
      </left>
      <right style="thin">
        <color rgb="FFCFCCCC"/>
      </right>
      <top style="thin">
        <color rgb="FFCFCCCC"/>
      </top>
      <bottom style="thin">
        <color rgb="FFCFCCCC"/>
      </bottom>
      <diagonal/>
    </border>
    <border>
      <left style="medium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/>
      <diagonal/>
    </border>
  </borders>
  <cellStyleXfs count="6">
    <xf numFmtId="0" fontId="0" fillId="0" borderId="0">
      <alignment vertical="center"/>
    </xf>
    <xf numFmtId="0" fontId="14" fillId="0" borderId="0"/>
    <xf numFmtId="0" fontId="16" fillId="0" borderId="0"/>
    <xf numFmtId="0" fontId="15" fillId="0" borderId="0">
      <alignment vertical="center"/>
    </xf>
    <xf numFmtId="0" fontId="17" fillId="0" borderId="0"/>
    <xf numFmtId="0" fontId="17" fillId="0" borderId="0"/>
  </cellStyleXfs>
  <cellXfs count="6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0" fillId="0" borderId="5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14" xfId="0" applyFont="1" applyBorder="1">
      <alignment vertical="center"/>
    </xf>
    <xf numFmtId="0" fontId="3" fillId="0" borderId="18" xfId="0" applyFont="1" applyBorder="1">
      <alignment vertical="center"/>
    </xf>
    <xf numFmtId="0" fontId="3" fillId="7" borderId="16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11" fillId="4" borderId="2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/>
    </xf>
    <xf numFmtId="0" fontId="11" fillId="0" borderId="23" xfId="0" applyFont="1" applyBorder="1" applyAlignment="1">
      <alignment horizontal="left" vertical="center" wrapText="1"/>
    </xf>
  </cellXfs>
  <cellStyles count="6">
    <cellStyle name="標準" xfId="0" builtinId="0"/>
    <cellStyle name="標準 2" xfId="3" xr:uid="{2D14A578-AB72-41C9-8A1F-D3F8E348E5DE}"/>
    <cellStyle name="標準 3" xfId="4" xr:uid="{591B4309-2191-4DDD-880C-1DB4A0CC1D01}"/>
    <cellStyle name="標準 4" xfId="1" xr:uid="{70B160DD-9D3C-40AC-9D74-4A2C4B63190B}"/>
    <cellStyle name="標準 4 2" xfId="5" xr:uid="{6EA8A87A-EA59-41C9-B2FF-E07D078FA541}"/>
    <cellStyle name="標準 5" xfId="2" xr:uid="{F70D6FCC-8BD9-41EE-9A16-DC98D2C20D0F}"/>
  </cellStyles>
  <dxfs count="0"/>
  <tableStyles count="0" defaultTableStyle="TableStyleMedium2" defaultPivotStyle="PivotStyleLight16"/>
  <colors>
    <mruColors>
      <color rgb="FFCFCCCC"/>
      <color rgb="FFCCFF99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2</xdr:row>
      <xdr:rowOff>88900</xdr:rowOff>
    </xdr:from>
    <xdr:to>
      <xdr:col>14</xdr:col>
      <xdr:colOff>393700</xdr:colOff>
      <xdr:row>14</xdr:row>
      <xdr:rowOff>216795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EED3F3-B9E3-1B94-3278-486F66E7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546100"/>
          <a:ext cx="7772400" cy="2871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4F95-CF91-4316-B27C-D1A6CCAE48D1}">
  <dimension ref="A1:AG136"/>
  <sheetViews>
    <sheetView tabSelected="1" topLeftCell="Y1" zoomScale="70" zoomScaleNormal="70" workbookViewId="0">
      <selection activeCell="B6" sqref="B6"/>
    </sheetView>
  </sheetViews>
  <sheetFormatPr baseColWidth="10" defaultColWidth="8.6640625" defaultRowHeight="19"/>
  <cols>
    <col min="1" max="1" width="38.5" style="1" bestFit="1" customWidth="1"/>
    <col min="2" max="2" width="58" style="1" bestFit="1" customWidth="1"/>
    <col min="3" max="3" width="26.6640625" style="1" customWidth="1"/>
    <col min="4" max="4" width="92.1640625" style="1" bestFit="1" customWidth="1"/>
    <col min="5" max="6" width="28.33203125" style="1" customWidth="1"/>
    <col min="7" max="7" width="50.5" style="1" hidden="1" customWidth="1"/>
    <col min="8" max="8" width="41" style="1" bestFit="1" customWidth="1"/>
    <col min="9" max="9" width="49.5" style="1" customWidth="1"/>
    <col min="10" max="10" width="25.1640625" style="1" bestFit="1" customWidth="1"/>
    <col min="11" max="11" width="92.1640625" style="1" bestFit="1" customWidth="1"/>
    <col min="12" max="12" width="21.6640625" style="1" customWidth="1"/>
    <col min="13" max="13" width="18.33203125" style="1" customWidth="1"/>
    <col min="14" max="14" width="23.5" style="1" bestFit="1" customWidth="1"/>
    <col min="15" max="18" width="18.33203125" style="1" customWidth="1"/>
    <col min="19" max="20" width="4.1640625" style="1" customWidth="1"/>
    <col min="21" max="21" width="44.6640625" style="1" customWidth="1"/>
    <col min="22" max="22" width="22.5" style="1" bestFit="1" customWidth="1"/>
    <col min="23" max="23" width="22.5" style="1" customWidth="1"/>
    <col min="24" max="31" width="26.6640625" style="1" customWidth="1"/>
    <col min="32" max="16384" width="8.6640625" style="1"/>
  </cols>
  <sheetData>
    <row r="1" spans="1:33" ht="45" customHeight="1" thickBot="1">
      <c r="A1" s="43" t="s">
        <v>138</v>
      </c>
      <c r="B1" s="43" t="s">
        <v>135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3" s="12" customFormat="1" ht="22.5" customHeight="1">
      <c r="A2" s="29" t="s">
        <v>155</v>
      </c>
      <c r="B2" s="30"/>
      <c r="C2" s="30"/>
      <c r="D2" s="30" t="s">
        <v>0</v>
      </c>
      <c r="E2" s="30" t="s">
        <v>0</v>
      </c>
      <c r="F2" s="30" t="s">
        <v>0</v>
      </c>
      <c r="G2" s="30" t="s">
        <v>1</v>
      </c>
      <c r="H2" s="30" t="s">
        <v>1</v>
      </c>
      <c r="I2" s="30" t="s">
        <v>1</v>
      </c>
      <c r="J2" s="30"/>
      <c r="K2" s="31" t="s">
        <v>1</v>
      </c>
      <c r="L2" s="30" t="s">
        <v>2</v>
      </c>
      <c r="M2" s="32" t="s">
        <v>2</v>
      </c>
      <c r="N2" s="33" t="s">
        <v>3</v>
      </c>
      <c r="O2" s="30" t="s">
        <v>3</v>
      </c>
      <c r="P2" s="30" t="s">
        <v>3</v>
      </c>
      <c r="Q2" s="30" t="s">
        <v>3</v>
      </c>
      <c r="R2" s="32" t="s">
        <v>3</v>
      </c>
      <c r="S2" s="34"/>
      <c r="T2" s="34"/>
      <c r="U2" s="30" t="s">
        <v>146</v>
      </c>
      <c r="V2" s="54" t="s">
        <v>4</v>
      </c>
      <c r="W2" s="54" t="s">
        <v>4</v>
      </c>
      <c r="X2" s="35" t="s">
        <v>4</v>
      </c>
      <c r="Y2" s="35" t="s">
        <v>4</v>
      </c>
      <c r="Z2" s="35" t="s">
        <v>4</v>
      </c>
      <c r="AA2" s="35" t="s">
        <v>4</v>
      </c>
      <c r="AB2" s="35" t="s">
        <v>4</v>
      </c>
      <c r="AC2" s="35" t="s">
        <v>4</v>
      </c>
      <c r="AD2" s="35" t="s">
        <v>4</v>
      </c>
      <c r="AE2" s="35" t="s">
        <v>4</v>
      </c>
      <c r="AF2" s="44"/>
      <c r="AG2" s="11"/>
    </row>
    <row r="3" spans="1:33" s="11" customFormat="1" ht="69.75" customHeight="1">
      <c r="A3" s="37" t="s">
        <v>154</v>
      </c>
      <c r="B3" s="36" t="s">
        <v>5</v>
      </c>
      <c r="C3" s="38" t="s">
        <v>6</v>
      </c>
      <c r="D3" s="36" t="s">
        <v>7</v>
      </c>
      <c r="E3" s="38" t="s">
        <v>9</v>
      </c>
      <c r="F3" s="38" t="s">
        <v>10</v>
      </c>
      <c r="G3" s="36" t="s">
        <v>12</v>
      </c>
      <c r="H3" s="38" t="s">
        <v>13</v>
      </c>
      <c r="I3" s="38" t="s">
        <v>11</v>
      </c>
      <c r="J3" s="38"/>
      <c r="K3" s="39" t="s">
        <v>14</v>
      </c>
      <c r="L3" s="36" t="s">
        <v>15</v>
      </c>
      <c r="M3" s="40" t="s">
        <v>16</v>
      </c>
      <c r="N3" s="41" t="s">
        <v>17</v>
      </c>
      <c r="O3" s="36" t="s">
        <v>18</v>
      </c>
      <c r="P3" s="36" t="s">
        <v>19</v>
      </c>
      <c r="Q3" s="36" t="s">
        <v>20</v>
      </c>
      <c r="R3" s="40" t="s">
        <v>21</v>
      </c>
      <c r="S3" s="42"/>
      <c r="T3" s="42"/>
      <c r="U3" s="38" t="s">
        <v>8</v>
      </c>
      <c r="V3" s="55" t="s">
        <v>158</v>
      </c>
      <c r="W3" s="55" t="s">
        <v>159</v>
      </c>
      <c r="X3" s="38" t="s">
        <v>162</v>
      </c>
      <c r="Y3" s="38" t="s">
        <v>166</v>
      </c>
      <c r="Z3" s="38" t="s">
        <v>169</v>
      </c>
      <c r="AA3" s="38" t="s">
        <v>171</v>
      </c>
      <c r="AB3" s="38" t="s">
        <v>173</v>
      </c>
      <c r="AC3" s="38" t="s">
        <v>175</v>
      </c>
      <c r="AD3" s="38" t="s">
        <v>177</v>
      </c>
      <c r="AE3" s="38" t="s">
        <v>179</v>
      </c>
      <c r="AF3" s="44"/>
    </row>
    <row r="4" spans="1:33" s="13" customFormat="1" ht="75.75" customHeight="1">
      <c r="A4" s="25" t="s">
        <v>148</v>
      </c>
      <c r="B4" s="19" t="s">
        <v>22</v>
      </c>
      <c r="C4" s="18" t="s">
        <v>23</v>
      </c>
      <c r="D4" s="19" t="s">
        <v>137</v>
      </c>
      <c r="E4" s="22" t="s">
        <v>24</v>
      </c>
      <c r="F4" s="23" t="s">
        <v>25</v>
      </c>
      <c r="G4" s="19" t="s">
        <v>134</v>
      </c>
      <c r="H4" s="23" t="s">
        <v>26</v>
      </c>
      <c r="I4" s="18" t="s">
        <v>153</v>
      </c>
      <c r="J4" s="18" t="s">
        <v>27</v>
      </c>
      <c r="K4" s="19" t="s">
        <v>136</v>
      </c>
      <c r="L4" s="24" t="s">
        <v>28</v>
      </c>
      <c r="M4" s="26" t="s">
        <v>29</v>
      </c>
      <c r="N4" s="27" t="s">
        <v>30</v>
      </c>
      <c r="O4" s="38" t="s">
        <v>31</v>
      </c>
      <c r="P4" s="38" t="s">
        <v>32</v>
      </c>
      <c r="Q4" s="38" t="s">
        <v>33</v>
      </c>
      <c r="R4" s="62" t="s">
        <v>34</v>
      </c>
      <c r="S4" s="20"/>
      <c r="T4" s="20"/>
      <c r="U4" s="56" t="s">
        <v>147</v>
      </c>
      <c r="V4" s="56" t="s">
        <v>158</v>
      </c>
      <c r="W4" s="56" t="s">
        <v>159</v>
      </c>
      <c r="X4" s="23" t="s">
        <v>163</v>
      </c>
      <c r="Y4" s="23" t="s">
        <v>167</v>
      </c>
      <c r="Z4" s="23" t="s">
        <v>170</v>
      </c>
      <c r="AA4" s="23" t="s">
        <v>172</v>
      </c>
      <c r="AB4" s="23" t="s">
        <v>174</v>
      </c>
      <c r="AC4" s="23" t="s">
        <v>176</v>
      </c>
      <c r="AD4" s="23" t="s">
        <v>178</v>
      </c>
      <c r="AE4" s="23" t="s">
        <v>179</v>
      </c>
      <c r="AF4" s="14"/>
    </row>
    <row r="5" spans="1:33" s="2" customFormat="1" ht="26">
      <c r="A5" s="50" t="str">
        <f>IF(U5&lt;&gt;"",U5,"")</f>
        <v>CrossBeam550_自動_1.tif</v>
      </c>
      <c r="B5" s="51" t="s">
        <v>181</v>
      </c>
      <c r="C5" s="21" t="s">
        <v>180</v>
      </c>
      <c r="D5" s="46" t="str">
        <f>IFERROR(VLOOKUP(C5,ユーザーリスト!$A:$B,2,0),"")</f>
        <v>00000000000000000000000000000000000000000000000000000001</v>
      </c>
      <c r="E5" s="52"/>
      <c r="F5" s="52"/>
      <c r="G5" s="46"/>
      <c r="H5" s="53"/>
      <c r="I5" s="21">
        <v>10</v>
      </c>
      <c r="J5" s="21" t="s">
        <v>180</v>
      </c>
      <c r="K5" s="45" t="str">
        <f>IFERROR(VLOOKUP(J5,ユーザーリスト!$A:$B,2,0),"")</f>
        <v>00000000000000000000000000000000000000000000000000000001</v>
      </c>
      <c r="L5" s="48"/>
      <c r="M5" s="49"/>
      <c r="N5" s="58"/>
      <c r="O5" s="64"/>
      <c r="P5" s="64"/>
      <c r="Q5" s="64"/>
      <c r="R5" s="64"/>
      <c r="S5" s="28"/>
      <c r="T5" s="28"/>
      <c r="U5" s="8" t="s">
        <v>156</v>
      </c>
      <c r="V5" s="8">
        <v>80</v>
      </c>
      <c r="W5" s="8" t="s">
        <v>160</v>
      </c>
      <c r="X5" s="8" t="s">
        <v>165</v>
      </c>
      <c r="Y5" s="8" t="s">
        <v>168</v>
      </c>
      <c r="Z5" s="8"/>
      <c r="AA5" s="8"/>
      <c r="AB5" s="57"/>
      <c r="AC5" s="8"/>
      <c r="AD5" s="8"/>
      <c r="AE5" s="8"/>
      <c r="AF5" s="16"/>
    </row>
    <row r="6" spans="1:33" s="3" customFormat="1" ht="33" customHeight="1">
      <c r="A6" s="50" t="str">
        <f t="shared" ref="A6:A69" si="0">IF(U6&lt;&gt;"",U6,"")</f>
        <v xml:space="preserve"> CrossBeam550_手動_1.tif</v>
      </c>
      <c r="B6" s="51" t="s">
        <v>181</v>
      </c>
      <c r="C6" s="21" t="s">
        <v>180</v>
      </c>
      <c r="D6" s="46" t="str">
        <f>IFERROR(VLOOKUP(C6,ユーザーリスト!$A:$B,2,0),"")</f>
        <v>00000000000000000000000000000000000000000000000000000001</v>
      </c>
      <c r="E6" s="52"/>
      <c r="F6" s="52"/>
      <c r="G6" s="46"/>
      <c r="H6" s="53"/>
      <c r="I6" s="21">
        <v>10</v>
      </c>
      <c r="J6" s="21" t="s">
        <v>180</v>
      </c>
      <c r="K6" s="45" t="str">
        <f>IFERROR(VLOOKUP(J6,ユーザーリスト!$A:$B,2,0),"")</f>
        <v>00000000000000000000000000000000000000000000000000000001</v>
      </c>
      <c r="L6" s="48"/>
      <c r="M6" s="49"/>
      <c r="N6" s="58"/>
      <c r="O6" s="64"/>
      <c r="P6" s="64"/>
      <c r="Q6" s="64"/>
      <c r="R6" s="64"/>
      <c r="S6" s="28"/>
      <c r="T6" s="28"/>
      <c r="U6" s="8" t="s">
        <v>157</v>
      </c>
      <c r="V6" s="8">
        <v>81</v>
      </c>
      <c r="W6" s="8" t="s">
        <v>161</v>
      </c>
      <c r="X6" s="8" t="s">
        <v>164</v>
      </c>
      <c r="Y6" s="8" t="s">
        <v>168</v>
      </c>
      <c r="Z6" s="8" t="str">
        <f t="shared" ref="Z6:Z69" si="1">IF(T6&lt;&gt;"","calculation","")</f>
        <v/>
      </c>
      <c r="AA6" s="8"/>
      <c r="AB6" s="57"/>
      <c r="AC6" s="8"/>
      <c r="AD6" s="8" t="str">
        <f t="shared" ref="AD6:AD69" si="2">IF(T6&lt;&gt;"","Linux","")</f>
        <v/>
      </c>
      <c r="AE6" s="8"/>
      <c r="AF6" s="17"/>
    </row>
    <row r="7" spans="1:33" s="3" customFormat="1" ht="36.75" customHeight="1">
      <c r="A7" s="50" t="str">
        <f t="shared" si="0"/>
        <v/>
      </c>
      <c r="B7" s="51"/>
      <c r="C7" s="21" t="str">
        <f t="shared" ref="C6:C69" si="3">IF(U7&lt;&gt;"","NAGAO,Hiroko","")</f>
        <v/>
      </c>
      <c r="D7" s="46" t="str">
        <f>IFERROR(VLOOKUP(C7,ユーザーリスト!$A:$B,2,0),"")</f>
        <v/>
      </c>
      <c r="E7" s="52"/>
      <c r="F7" s="52"/>
      <c r="G7" s="46"/>
      <c r="H7" s="53"/>
      <c r="I7" s="21" t="str" cm="1">
        <f t="array" ref="I7">IF(U7&lt;&gt;"",INDEX(_xlfn.TEXTSPLIT(#REF!,"_"),2),"")</f>
        <v/>
      </c>
      <c r="J7" s="21" t="str">
        <f t="shared" ref="J6:J69" si="4">IF(U7&lt;&gt;"","NAGAO,Hiroko","")</f>
        <v/>
      </c>
      <c r="K7" s="45" t="str">
        <f>IFERROR(VLOOKUP(J7,ユーザーリスト!$A:$B,2,0),"")</f>
        <v/>
      </c>
      <c r="L7" s="48"/>
      <c r="M7" s="49"/>
      <c r="N7" s="58"/>
      <c r="O7" s="64"/>
      <c r="P7" s="64"/>
      <c r="Q7" s="64"/>
      <c r="R7" s="64"/>
      <c r="S7" s="28"/>
      <c r="T7" s="28"/>
      <c r="U7" s="8"/>
      <c r="V7" s="8"/>
      <c r="W7" s="8"/>
      <c r="X7" s="8" t="str">
        <f t="shared" ref="X7:X69" si="5">IF(T7&lt;&gt;"","蓄電池電解液","")</f>
        <v/>
      </c>
      <c r="Y7" s="8" t="str">
        <f t="shared" ref="Y7:Y69" si="6">IF(T7&lt;&gt;"","calculation","")</f>
        <v/>
      </c>
      <c r="Z7" s="8" t="str">
        <f t="shared" si="1"/>
        <v/>
      </c>
      <c r="AA7" s="8"/>
      <c r="AB7" s="57"/>
      <c r="AC7" s="8"/>
      <c r="AD7" s="8" t="str">
        <f t="shared" si="2"/>
        <v/>
      </c>
      <c r="AE7" s="8"/>
      <c r="AF7" s="17"/>
    </row>
    <row r="8" spans="1:33" s="3" customFormat="1" ht="36.75" customHeight="1">
      <c r="A8" s="50" t="str">
        <f t="shared" si="0"/>
        <v/>
      </c>
      <c r="B8" s="51"/>
      <c r="C8" s="21" t="str">
        <f t="shared" si="3"/>
        <v/>
      </c>
      <c r="D8" s="46" t="str">
        <f>IFERROR(VLOOKUP(C8,ユーザーリスト!$A:$B,2,0),"")</f>
        <v/>
      </c>
      <c r="E8" s="52"/>
      <c r="F8" s="52"/>
      <c r="G8" s="46"/>
      <c r="H8" s="53"/>
      <c r="I8" s="21" t="str" cm="1">
        <f t="array" ref="I8">IF(U8&lt;&gt;"",INDEX(_xlfn.TEXTSPLIT(#REF!,"_"),2),"")</f>
        <v/>
      </c>
      <c r="J8" s="21" t="str">
        <f t="shared" si="4"/>
        <v/>
      </c>
      <c r="K8" s="45" t="str">
        <f>IFERROR(VLOOKUP(J8,ユーザーリスト!$A:$B,2,0),"")</f>
        <v/>
      </c>
      <c r="L8" s="48"/>
      <c r="M8" s="49"/>
      <c r="N8" s="58"/>
      <c r="O8" s="64"/>
      <c r="P8" s="64"/>
      <c r="Q8" s="64"/>
      <c r="R8" s="64"/>
      <c r="S8" s="28"/>
      <c r="T8" s="28"/>
      <c r="U8" s="8"/>
      <c r="V8" s="8"/>
      <c r="W8" s="8"/>
      <c r="X8" s="8" t="str">
        <f t="shared" si="5"/>
        <v/>
      </c>
      <c r="Y8" s="8" t="str">
        <f t="shared" si="6"/>
        <v/>
      </c>
      <c r="Z8" s="8" t="str">
        <f t="shared" si="1"/>
        <v/>
      </c>
      <c r="AA8" s="8"/>
      <c r="AB8" s="57"/>
      <c r="AC8" s="8"/>
      <c r="AD8" s="8" t="str">
        <f t="shared" si="2"/>
        <v/>
      </c>
      <c r="AE8" s="8"/>
      <c r="AF8" s="17"/>
    </row>
    <row r="9" spans="1:33" s="3" customFormat="1" ht="36.75" customHeight="1">
      <c r="A9" s="50" t="str">
        <f t="shared" si="0"/>
        <v/>
      </c>
      <c r="B9" s="51"/>
      <c r="C9" s="21" t="str">
        <f t="shared" si="3"/>
        <v/>
      </c>
      <c r="D9" s="46" t="str">
        <f>IFERROR(VLOOKUP(C9,ユーザーリスト!$A:$B,2,0),"")</f>
        <v/>
      </c>
      <c r="E9" s="52"/>
      <c r="F9" s="52"/>
      <c r="G9" s="46"/>
      <c r="H9" s="53"/>
      <c r="I9" s="21" t="str" cm="1">
        <f t="array" ref="I9">IF(U9&lt;&gt;"",INDEX(_xlfn.TEXTSPLIT(#REF!,"_"),2),"")</f>
        <v/>
      </c>
      <c r="J9" s="21" t="str">
        <f t="shared" si="4"/>
        <v/>
      </c>
      <c r="K9" s="45" t="str">
        <f>IFERROR(VLOOKUP(J9,ユーザーリスト!$A:$B,2,0),"")</f>
        <v/>
      </c>
      <c r="L9" s="48"/>
      <c r="M9" s="49"/>
      <c r="N9" s="58"/>
      <c r="O9" s="64"/>
      <c r="P9" s="64"/>
      <c r="Q9" s="64"/>
      <c r="R9" s="64"/>
      <c r="S9" s="28"/>
      <c r="T9" s="28"/>
      <c r="U9" s="8"/>
      <c r="V9" s="8"/>
      <c r="W9" s="8"/>
      <c r="X9" s="8" t="str">
        <f t="shared" si="5"/>
        <v/>
      </c>
      <c r="Y9" s="8" t="str">
        <f t="shared" si="6"/>
        <v/>
      </c>
      <c r="Z9" s="8" t="str">
        <f t="shared" si="1"/>
        <v/>
      </c>
      <c r="AA9" s="8"/>
      <c r="AB9" s="57"/>
      <c r="AC9" s="8"/>
      <c r="AD9" s="8" t="str">
        <f t="shared" si="2"/>
        <v/>
      </c>
      <c r="AE9" s="8"/>
      <c r="AF9" s="17"/>
    </row>
    <row r="10" spans="1:33" s="3" customFormat="1" ht="36.75" customHeight="1">
      <c r="A10" s="50" t="str">
        <f t="shared" si="0"/>
        <v/>
      </c>
      <c r="B10" s="51"/>
      <c r="C10" s="21" t="str">
        <f t="shared" si="3"/>
        <v/>
      </c>
      <c r="D10" s="46" t="str">
        <f>IFERROR(VLOOKUP(C10,ユーザーリスト!$A:$B,2,0),"")</f>
        <v/>
      </c>
      <c r="E10" s="52"/>
      <c r="F10" s="52"/>
      <c r="G10" s="46"/>
      <c r="H10" s="53"/>
      <c r="I10" s="21" t="str" cm="1">
        <f t="array" ref="I10">IF(U10&lt;&gt;"",INDEX(_xlfn.TEXTSPLIT(#REF!,"_"),2),"")</f>
        <v/>
      </c>
      <c r="J10" s="21" t="str">
        <f t="shared" si="4"/>
        <v/>
      </c>
      <c r="K10" s="45" t="str">
        <f>IFERROR(VLOOKUP(J10,ユーザーリスト!$A:$B,2,0),"")</f>
        <v/>
      </c>
      <c r="L10" s="48"/>
      <c r="M10" s="49"/>
      <c r="N10" s="58"/>
      <c r="O10" s="64"/>
      <c r="P10" s="64"/>
      <c r="Q10" s="64"/>
      <c r="R10" s="64"/>
      <c r="S10" s="28"/>
      <c r="T10" s="28"/>
      <c r="U10" s="8"/>
      <c r="V10" s="8"/>
      <c r="W10" s="8"/>
      <c r="X10" s="8" t="str">
        <f t="shared" si="5"/>
        <v/>
      </c>
      <c r="Y10" s="8" t="str">
        <f t="shared" si="6"/>
        <v/>
      </c>
      <c r="Z10" s="8" t="str">
        <f t="shared" si="1"/>
        <v/>
      </c>
      <c r="AA10" s="8"/>
      <c r="AB10" s="57"/>
      <c r="AC10" s="8"/>
      <c r="AD10" s="8" t="str">
        <f t="shared" si="2"/>
        <v/>
      </c>
      <c r="AE10" s="8"/>
      <c r="AF10" s="17"/>
    </row>
    <row r="11" spans="1:33" s="3" customFormat="1" ht="36.75" customHeight="1">
      <c r="A11" s="50" t="str">
        <f t="shared" si="0"/>
        <v/>
      </c>
      <c r="B11" s="51"/>
      <c r="C11" s="21" t="str">
        <f t="shared" si="3"/>
        <v/>
      </c>
      <c r="D11" s="46" t="str">
        <f>IFERROR(VLOOKUP(C11,ユーザーリスト!$A:$B,2,0),"")</f>
        <v/>
      </c>
      <c r="E11" s="52"/>
      <c r="F11" s="52"/>
      <c r="G11" s="46"/>
      <c r="H11" s="53"/>
      <c r="I11" s="21" t="str" cm="1">
        <f t="array" ref="I11">IF(U11&lt;&gt;"",INDEX(_xlfn.TEXTSPLIT(#REF!,"_"),2),"")</f>
        <v/>
      </c>
      <c r="J11" s="21" t="str">
        <f t="shared" si="4"/>
        <v/>
      </c>
      <c r="K11" s="45" t="str">
        <f>IFERROR(VLOOKUP(J11,ユーザーリスト!$A:$B,2,0),"")</f>
        <v/>
      </c>
      <c r="L11" s="48"/>
      <c r="M11" s="49"/>
      <c r="N11" s="58"/>
      <c r="O11" s="64"/>
      <c r="P11" s="64"/>
      <c r="Q11" s="64"/>
      <c r="R11" s="64"/>
      <c r="S11" s="28"/>
      <c r="T11" s="28"/>
      <c r="U11" s="8"/>
      <c r="V11" s="8"/>
      <c r="W11" s="8"/>
      <c r="X11" s="8" t="str">
        <f t="shared" si="5"/>
        <v/>
      </c>
      <c r="Y11" s="8" t="str">
        <f t="shared" si="6"/>
        <v/>
      </c>
      <c r="Z11" s="8" t="str">
        <f t="shared" si="1"/>
        <v/>
      </c>
      <c r="AA11" s="8"/>
      <c r="AB11" s="57"/>
      <c r="AC11" s="8"/>
      <c r="AD11" s="8" t="str">
        <f t="shared" si="2"/>
        <v/>
      </c>
      <c r="AE11" s="8"/>
      <c r="AF11" s="17"/>
    </row>
    <row r="12" spans="1:33" s="3" customFormat="1" ht="36.75" customHeight="1">
      <c r="A12" s="50" t="str">
        <f t="shared" si="0"/>
        <v/>
      </c>
      <c r="B12" s="51"/>
      <c r="C12" s="21" t="str">
        <f t="shared" si="3"/>
        <v/>
      </c>
      <c r="D12" s="46" t="str">
        <f>IFERROR(VLOOKUP(C12,ユーザーリスト!$A:$B,2,0),"")</f>
        <v/>
      </c>
      <c r="E12" s="52"/>
      <c r="F12" s="52"/>
      <c r="G12" s="46"/>
      <c r="H12" s="53"/>
      <c r="I12" s="21" t="str" cm="1">
        <f t="array" ref="I12">IF(U12&lt;&gt;"",INDEX(_xlfn.TEXTSPLIT(#REF!,"_"),2),"")</f>
        <v/>
      </c>
      <c r="J12" s="21" t="str">
        <f t="shared" si="4"/>
        <v/>
      </c>
      <c r="K12" s="45" t="str">
        <f>IFERROR(VLOOKUP(J12,ユーザーリスト!$A:$B,2,0),"")</f>
        <v/>
      </c>
      <c r="L12" s="48"/>
      <c r="M12" s="49"/>
      <c r="N12" s="58"/>
      <c r="O12" s="64"/>
      <c r="P12" s="64"/>
      <c r="Q12" s="64"/>
      <c r="R12" s="64"/>
      <c r="S12" s="28"/>
      <c r="T12" s="28"/>
      <c r="U12" s="8"/>
      <c r="V12" s="8"/>
      <c r="W12" s="8"/>
      <c r="X12" s="8" t="str">
        <f t="shared" si="5"/>
        <v/>
      </c>
      <c r="Y12" s="8" t="str">
        <f t="shared" si="6"/>
        <v/>
      </c>
      <c r="Z12" s="8" t="str">
        <f t="shared" si="1"/>
        <v/>
      </c>
      <c r="AA12" s="8"/>
      <c r="AB12" s="57"/>
      <c r="AC12" s="8"/>
      <c r="AD12" s="8" t="str">
        <f t="shared" si="2"/>
        <v/>
      </c>
      <c r="AE12" s="8"/>
      <c r="AF12" s="17"/>
    </row>
    <row r="13" spans="1:33" s="3" customFormat="1" ht="36.75" customHeight="1">
      <c r="A13" s="50" t="str">
        <f t="shared" si="0"/>
        <v/>
      </c>
      <c r="B13" s="51"/>
      <c r="C13" s="21" t="str">
        <f t="shared" si="3"/>
        <v/>
      </c>
      <c r="D13" s="46" t="str">
        <f>IFERROR(VLOOKUP(C13,ユーザーリスト!$A:$B,2,0),"")</f>
        <v/>
      </c>
      <c r="E13" s="52"/>
      <c r="F13" s="52"/>
      <c r="G13" s="46"/>
      <c r="H13" s="53"/>
      <c r="I13" s="21" t="str" cm="1">
        <f t="array" ref="I13">IF(U13&lt;&gt;"",INDEX(_xlfn.TEXTSPLIT(#REF!,"_"),2),"")</f>
        <v/>
      </c>
      <c r="J13" s="21" t="str">
        <f t="shared" si="4"/>
        <v/>
      </c>
      <c r="K13" s="45" t="str">
        <f>IFERROR(VLOOKUP(J13,ユーザーリスト!$A:$B,2,0),"")</f>
        <v/>
      </c>
      <c r="L13" s="48"/>
      <c r="M13" s="49"/>
      <c r="N13" s="58"/>
      <c r="O13" s="64"/>
      <c r="P13" s="64"/>
      <c r="Q13" s="64"/>
      <c r="R13" s="64"/>
      <c r="S13" s="28"/>
      <c r="T13" s="28"/>
      <c r="U13" s="8"/>
      <c r="V13" s="8"/>
      <c r="W13" s="8"/>
      <c r="X13" s="8" t="str">
        <f t="shared" si="5"/>
        <v/>
      </c>
      <c r="Y13" s="8" t="str">
        <f t="shared" si="6"/>
        <v/>
      </c>
      <c r="Z13" s="8" t="str">
        <f t="shared" si="1"/>
        <v/>
      </c>
      <c r="AA13" s="8"/>
      <c r="AB13" s="57"/>
      <c r="AC13" s="8"/>
      <c r="AD13" s="8" t="str">
        <f t="shared" si="2"/>
        <v/>
      </c>
      <c r="AE13" s="8"/>
      <c r="AF13" s="17"/>
    </row>
    <row r="14" spans="1:33" s="3" customFormat="1" ht="36.75" customHeight="1">
      <c r="A14" s="50" t="str">
        <f t="shared" si="0"/>
        <v/>
      </c>
      <c r="B14" s="51"/>
      <c r="C14" s="21" t="str">
        <f t="shared" si="3"/>
        <v/>
      </c>
      <c r="D14" s="46" t="str">
        <f>IFERROR(VLOOKUP(C14,ユーザーリスト!$A:$B,2,0),"")</f>
        <v/>
      </c>
      <c r="E14" s="52"/>
      <c r="F14" s="52"/>
      <c r="G14" s="46"/>
      <c r="H14" s="53"/>
      <c r="I14" s="21" t="str" cm="1">
        <f t="array" ref="I14">IF(U14&lt;&gt;"",INDEX(_xlfn.TEXTSPLIT(#REF!,"_"),2),"")</f>
        <v/>
      </c>
      <c r="J14" s="21" t="str">
        <f t="shared" si="4"/>
        <v/>
      </c>
      <c r="K14" s="45" t="str">
        <f>IFERROR(VLOOKUP(J14,ユーザーリスト!$A:$B,2,0),"")</f>
        <v/>
      </c>
      <c r="L14" s="48"/>
      <c r="M14" s="49"/>
      <c r="N14" s="58"/>
      <c r="O14" s="64"/>
      <c r="P14" s="64"/>
      <c r="Q14" s="64"/>
      <c r="R14" s="64"/>
      <c r="S14" s="28"/>
      <c r="T14" s="28"/>
      <c r="U14" s="8"/>
      <c r="V14" s="8"/>
      <c r="W14" s="8"/>
      <c r="X14" s="8" t="str">
        <f t="shared" si="5"/>
        <v/>
      </c>
      <c r="Y14" s="8" t="str">
        <f t="shared" si="6"/>
        <v/>
      </c>
      <c r="Z14" s="8" t="str">
        <f t="shared" si="1"/>
        <v/>
      </c>
      <c r="AA14" s="8"/>
      <c r="AB14" s="57"/>
      <c r="AC14" s="8"/>
      <c r="AD14" s="8" t="str">
        <f t="shared" si="2"/>
        <v/>
      </c>
      <c r="AE14" s="8"/>
      <c r="AF14" s="17"/>
    </row>
    <row r="15" spans="1:33" s="3" customFormat="1" ht="36.75" customHeight="1">
      <c r="A15" s="50" t="str">
        <f t="shared" si="0"/>
        <v/>
      </c>
      <c r="B15" s="51"/>
      <c r="C15" s="21" t="str">
        <f t="shared" si="3"/>
        <v/>
      </c>
      <c r="D15" s="46" t="str">
        <f>IFERROR(VLOOKUP(C15,ユーザーリスト!$A:$B,2,0),"")</f>
        <v/>
      </c>
      <c r="E15" s="52"/>
      <c r="F15" s="52"/>
      <c r="G15" s="46"/>
      <c r="H15" s="53"/>
      <c r="I15" s="21" t="str" cm="1">
        <f t="array" ref="I15">IF(U15&lt;&gt;"",INDEX(_xlfn.TEXTSPLIT(#REF!,"_"),2),"")</f>
        <v/>
      </c>
      <c r="J15" s="21" t="str">
        <f t="shared" si="4"/>
        <v/>
      </c>
      <c r="K15" s="45" t="str">
        <f>IFERROR(VLOOKUP(J15,ユーザーリスト!$A:$B,2,0),"")</f>
        <v/>
      </c>
      <c r="L15" s="48"/>
      <c r="M15" s="49"/>
      <c r="N15" s="58"/>
      <c r="O15" s="64"/>
      <c r="P15" s="64"/>
      <c r="Q15" s="64"/>
      <c r="R15" s="64"/>
      <c r="S15" s="28"/>
      <c r="T15" s="28"/>
      <c r="U15" s="8"/>
      <c r="V15" s="8"/>
      <c r="W15" s="8"/>
      <c r="X15" s="8" t="str">
        <f t="shared" si="5"/>
        <v/>
      </c>
      <c r="Y15" s="8" t="str">
        <f t="shared" si="6"/>
        <v/>
      </c>
      <c r="Z15" s="8" t="str">
        <f t="shared" si="1"/>
        <v/>
      </c>
      <c r="AA15" s="8"/>
      <c r="AB15" s="57"/>
      <c r="AC15" s="8"/>
      <c r="AD15" s="8" t="str">
        <f t="shared" si="2"/>
        <v/>
      </c>
      <c r="AE15" s="8"/>
      <c r="AF15" s="17"/>
    </row>
    <row r="16" spans="1:33" s="3" customFormat="1" ht="36.75" customHeight="1">
      <c r="A16" s="50" t="str">
        <f t="shared" si="0"/>
        <v/>
      </c>
      <c r="B16" s="51"/>
      <c r="C16" s="21" t="str">
        <f t="shared" si="3"/>
        <v/>
      </c>
      <c r="D16" s="46" t="str">
        <f>IFERROR(VLOOKUP(C16,ユーザーリスト!$A:$B,2,0),"")</f>
        <v/>
      </c>
      <c r="E16" s="52"/>
      <c r="F16" s="52"/>
      <c r="G16" s="46"/>
      <c r="H16" s="53"/>
      <c r="I16" s="21" t="str" cm="1">
        <f t="array" ref="I16">IF(U16&lt;&gt;"",INDEX(_xlfn.TEXTSPLIT(#REF!,"_"),2),"")</f>
        <v/>
      </c>
      <c r="J16" s="21" t="str">
        <f t="shared" si="4"/>
        <v/>
      </c>
      <c r="K16" s="45" t="str">
        <f>IFERROR(VLOOKUP(J16,ユーザーリスト!$A:$B,2,0),"")</f>
        <v/>
      </c>
      <c r="L16" s="48"/>
      <c r="M16" s="49"/>
      <c r="N16" s="58"/>
      <c r="O16" s="64"/>
      <c r="P16" s="64"/>
      <c r="Q16" s="64"/>
      <c r="R16" s="64"/>
      <c r="S16" s="28"/>
      <c r="T16" s="28"/>
      <c r="U16" s="8"/>
      <c r="V16" s="8"/>
      <c r="W16" s="8"/>
      <c r="X16" s="8" t="str">
        <f t="shared" si="5"/>
        <v/>
      </c>
      <c r="Y16" s="8" t="str">
        <f t="shared" si="6"/>
        <v/>
      </c>
      <c r="Z16" s="8" t="str">
        <f t="shared" si="1"/>
        <v/>
      </c>
      <c r="AA16" s="8"/>
      <c r="AB16" s="57"/>
      <c r="AC16" s="8"/>
      <c r="AD16" s="8" t="str">
        <f t="shared" si="2"/>
        <v/>
      </c>
      <c r="AE16" s="8"/>
      <c r="AF16" s="17"/>
    </row>
    <row r="17" spans="1:32" s="3" customFormat="1" ht="36.75" customHeight="1">
      <c r="A17" s="50" t="str">
        <f t="shared" si="0"/>
        <v/>
      </c>
      <c r="B17" s="51"/>
      <c r="C17" s="21" t="str">
        <f t="shared" si="3"/>
        <v/>
      </c>
      <c r="D17" s="46" t="str">
        <f>IFERROR(VLOOKUP(C17,ユーザーリスト!$A:$B,2,0),"")</f>
        <v/>
      </c>
      <c r="E17" s="52"/>
      <c r="F17" s="52"/>
      <c r="G17" s="46"/>
      <c r="H17" s="53"/>
      <c r="I17" s="21" t="str" cm="1">
        <f t="array" ref="I17">IF(U17&lt;&gt;"",INDEX(_xlfn.TEXTSPLIT(#REF!,"_"),2),"")</f>
        <v/>
      </c>
      <c r="J17" s="21" t="str">
        <f t="shared" si="4"/>
        <v/>
      </c>
      <c r="K17" s="45" t="str">
        <f>IFERROR(VLOOKUP(J17,ユーザーリスト!$A:$B,2,0),"")</f>
        <v/>
      </c>
      <c r="L17" s="48"/>
      <c r="M17" s="49"/>
      <c r="N17" s="58"/>
      <c r="O17" s="64"/>
      <c r="P17" s="64"/>
      <c r="Q17" s="64"/>
      <c r="R17" s="64"/>
      <c r="S17" s="28"/>
      <c r="T17" s="28"/>
      <c r="U17" s="8"/>
      <c r="V17" s="8"/>
      <c r="W17" s="8"/>
      <c r="X17" s="8" t="str">
        <f t="shared" si="5"/>
        <v/>
      </c>
      <c r="Y17" s="8" t="str">
        <f t="shared" si="6"/>
        <v/>
      </c>
      <c r="Z17" s="8" t="str">
        <f t="shared" si="1"/>
        <v/>
      </c>
      <c r="AA17" s="8"/>
      <c r="AB17" s="57"/>
      <c r="AC17" s="8"/>
      <c r="AD17" s="8" t="str">
        <f t="shared" si="2"/>
        <v/>
      </c>
      <c r="AE17" s="8"/>
      <c r="AF17" s="17"/>
    </row>
    <row r="18" spans="1:32" s="3" customFormat="1" ht="36.75" customHeight="1">
      <c r="A18" s="50" t="str">
        <f t="shared" si="0"/>
        <v/>
      </c>
      <c r="B18" s="51"/>
      <c r="C18" s="21" t="str">
        <f t="shared" si="3"/>
        <v/>
      </c>
      <c r="D18" s="46" t="str">
        <f>IFERROR(VLOOKUP(C18,ユーザーリスト!$A:$B,2,0),"")</f>
        <v/>
      </c>
      <c r="E18" s="52"/>
      <c r="F18" s="52"/>
      <c r="G18" s="46"/>
      <c r="H18" s="53"/>
      <c r="I18" s="21" t="str" cm="1">
        <f t="array" ref="I18">IF(U18&lt;&gt;"",INDEX(_xlfn.TEXTSPLIT(#REF!,"_"),2),"")</f>
        <v/>
      </c>
      <c r="J18" s="21" t="str">
        <f t="shared" si="4"/>
        <v/>
      </c>
      <c r="K18" s="45" t="str">
        <f>IFERROR(VLOOKUP(J18,ユーザーリスト!$A:$B,2,0),"")</f>
        <v/>
      </c>
      <c r="L18" s="48"/>
      <c r="M18" s="49"/>
      <c r="N18" s="58"/>
      <c r="O18" s="64"/>
      <c r="P18" s="64"/>
      <c r="Q18" s="64"/>
      <c r="R18" s="64"/>
      <c r="S18" s="28"/>
      <c r="T18" s="28"/>
      <c r="U18" s="8"/>
      <c r="V18" s="8"/>
      <c r="W18" s="8"/>
      <c r="X18" s="8" t="str">
        <f t="shared" si="5"/>
        <v/>
      </c>
      <c r="Y18" s="8" t="str">
        <f t="shared" si="6"/>
        <v/>
      </c>
      <c r="Z18" s="8" t="str">
        <f t="shared" si="1"/>
        <v/>
      </c>
      <c r="AA18" s="8"/>
      <c r="AB18" s="57"/>
      <c r="AC18" s="8"/>
      <c r="AD18" s="8" t="str">
        <f t="shared" si="2"/>
        <v/>
      </c>
      <c r="AE18" s="8"/>
      <c r="AF18" s="17"/>
    </row>
    <row r="19" spans="1:32" s="3" customFormat="1" ht="36.75" customHeight="1">
      <c r="A19" s="50" t="str">
        <f t="shared" si="0"/>
        <v/>
      </c>
      <c r="B19" s="51"/>
      <c r="C19" s="21" t="str">
        <f t="shared" si="3"/>
        <v/>
      </c>
      <c r="D19" s="46" t="str">
        <f>IFERROR(VLOOKUP(C19,ユーザーリスト!$A:$B,2,0),"")</f>
        <v/>
      </c>
      <c r="E19" s="52"/>
      <c r="F19" s="52"/>
      <c r="G19" s="46"/>
      <c r="H19" s="53"/>
      <c r="I19" s="21" t="str" cm="1">
        <f t="array" ref="I19">IF(U19&lt;&gt;"",INDEX(_xlfn.TEXTSPLIT(#REF!,"_"),2),"")</f>
        <v/>
      </c>
      <c r="J19" s="21" t="str">
        <f t="shared" si="4"/>
        <v/>
      </c>
      <c r="K19" s="45" t="str">
        <f>IFERROR(VLOOKUP(J19,ユーザーリスト!$A:$B,2,0),"")</f>
        <v/>
      </c>
      <c r="L19" s="48"/>
      <c r="M19" s="49"/>
      <c r="N19" s="58"/>
      <c r="O19" s="64"/>
      <c r="P19" s="64"/>
      <c r="Q19" s="64"/>
      <c r="R19" s="64"/>
      <c r="S19" s="28"/>
      <c r="T19" s="28"/>
      <c r="U19" s="8"/>
      <c r="V19" s="8"/>
      <c r="W19" s="8"/>
      <c r="X19" s="8" t="str">
        <f t="shared" si="5"/>
        <v/>
      </c>
      <c r="Y19" s="8" t="str">
        <f t="shared" si="6"/>
        <v/>
      </c>
      <c r="Z19" s="8" t="str">
        <f t="shared" si="1"/>
        <v/>
      </c>
      <c r="AA19" s="8"/>
      <c r="AB19" s="57"/>
      <c r="AC19" s="8"/>
      <c r="AD19" s="8" t="str">
        <f t="shared" si="2"/>
        <v/>
      </c>
      <c r="AE19" s="8"/>
      <c r="AF19" s="17"/>
    </row>
    <row r="20" spans="1:32" s="3" customFormat="1" ht="36.75" customHeight="1">
      <c r="A20" s="50" t="str">
        <f t="shared" si="0"/>
        <v/>
      </c>
      <c r="B20" s="51"/>
      <c r="C20" s="21" t="str">
        <f t="shared" si="3"/>
        <v/>
      </c>
      <c r="D20" s="46" t="str">
        <f>IFERROR(VLOOKUP(C20,ユーザーリスト!$A:$B,2,0),"")</f>
        <v/>
      </c>
      <c r="E20" s="52"/>
      <c r="F20" s="52"/>
      <c r="G20" s="46"/>
      <c r="H20" s="53"/>
      <c r="I20" s="21" t="str" cm="1">
        <f t="array" ref="I20">IF(U20&lt;&gt;"",INDEX(_xlfn.TEXTSPLIT(#REF!,"_"),2),"")</f>
        <v/>
      </c>
      <c r="J20" s="21" t="str">
        <f t="shared" si="4"/>
        <v/>
      </c>
      <c r="K20" s="45" t="str">
        <f>IFERROR(VLOOKUP(J20,ユーザーリスト!$A:$B,2,0),"")</f>
        <v/>
      </c>
      <c r="L20" s="48"/>
      <c r="M20" s="49"/>
      <c r="N20" s="58"/>
      <c r="O20" s="64"/>
      <c r="P20" s="64"/>
      <c r="Q20" s="64"/>
      <c r="R20" s="64"/>
      <c r="S20" s="28"/>
      <c r="T20" s="28"/>
      <c r="U20" s="8"/>
      <c r="V20" s="8"/>
      <c r="W20" s="8"/>
      <c r="X20" s="8" t="str">
        <f t="shared" si="5"/>
        <v/>
      </c>
      <c r="Y20" s="8" t="str">
        <f t="shared" si="6"/>
        <v/>
      </c>
      <c r="Z20" s="8" t="str">
        <f t="shared" si="1"/>
        <v/>
      </c>
      <c r="AA20" s="8"/>
      <c r="AB20" s="57"/>
      <c r="AC20" s="8"/>
      <c r="AD20" s="8" t="str">
        <f t="shared" si="2"/>
        <v/>
      </c>
      <c r="AE20" s="8"/>
      <c r="AF20" s="17"/>
    </row>
    <row r="21" spans="1:32" s="3" customFormat="1" ht="36.75" customHeight="1">
      <c r="A21" s="50" t="str">
        <f t="shared" si="0"/>
        <v/>
      </c>
      <c r="B21" s="51"/>
      <c r="C21" s="21" t="str">
        <f t="shared" si="3"/>
        <v/>
      </c>
      <c r="D21" s="46" t="str">
        <f>IFERROR(VLOOKUP(C21,ユーザーリスト!$A:$B,2,0),"")</f>
        <v/>
      </c>
      <c r="E21" s="52"/>
      <c r="F21" s="52"/>
      <c r="G21" s="46"/>
      <c r="H21" s="53"/>
      <c r="I21" s="21" t="str" cm="1">
        <f t="array" ref="I21">IF(U21&lt;&gt;"",INDEX(_xlfn.TEXTSPLIT(#REF!,"_"),2),"")</f>
        <v/>
      </c>
      <c r="J21" s="21" t="str">
        <f t="shared" si="4"/>
        <v/>
      </c>
      <c r="K21" s="45" t="str">
        <f>IFERROR(VLOOKUP(J21,ユーザーリスト!$A:$B,2,0),"")</f>
        <v/>
      </c>
      <c r="L21" s="48"/>
      <c r="M21" s="49"/>
      <c r="N21" s="58"/>
      <c r="O21" s="64"/>
      <c r="P21" s="64"/>
      <c r="Q21" s="64"/>
      <c r="R21" s="64"/>
      <c r="S21" s="28"/>
      <c r="T21" s="28"/>
      <c r="U21" s="8"/>
      <c r="V21" s="8"/>
      <c r="W21" s="8"/>
      <c r="X21" s="8" t="str">
        <f t="shared" si="5"/>
        <v/>
      </c>
      <c r="Y21" s="8" t="str">
        <f t="shared" si="6"/>
        <v/>
      </c>
      <c r="Z21" s="8" t="str">
        <f t="shared" si="1"/>
        <v/>
      </c>
      <c r="AA21" s="8"/>
      <c r="AB21" s="57"/>
      <c r="AC21" s="8"/>
      <c r="AD21" s="8" t="str">
        <f t="shared" si="2"/>
        <v/>
      </c>
      <c r="AE21" s="8"/>
      <c r="AF21" s="17"/>
    </row>
    <row r="22" spans="1:32" s="3" customFormat="1" ht="36.75" customHeight="1">
      <c r="A22" s="50" t="str">
        <f t="shared" si="0"/>
        <v/>
      </c>
      <c r="B22" s="51"/>
      <c r="C22" s="21" t="str">
        <f t="shared" si="3"/>
        <v/>
      </c>
      <c r="D22" s="46" t="str">
        <f>IFERROR(VLOOKUP(C22,ユーザーリスト!$A:$B,2,0),"")</f>
        <v/>
      </c>
      <c r="E22" s="52"/>
      <c r="F22" s="52"/>
      <c r="G22" s="46"/>
      <c r="H22" s="53"/>
      <c r="I22" s="21" t="str" cm="1">
        <f t="array" ref="I22">IF(U22&lt;&gt;"",INDEX(_xlfn.TEXTSPLIT(#REF!,"_"),2),"")</f>
        <v/>
      </c>
      <c r="J22" s="21" t="str">
        <f t="shared" si="4"/>
        <v/>
      </c>
      <c r="K22" s="45" t="str">
        <f>IFERROR(VLOOKUP(J22,ユーザーリスト!$A:$B,2,0),"")</f>
        <v/>
      </c>
      <c r="L22" s="48"/>
      <c r="M22" s="49"/>
      <c r="N22" s="58"/>
      <c r="O22" s="64"/>
      <c r="P22" s="64"/>
      <c r="Q22" s="64"/>
      <c r="R22" s="64"/>
      <c r="S22" s="28"/>
      <c r="T22" s="28"/>
      <c r="U22" s="8"/>
      <c r="V22" s="8"/>
      <c r="W22" s="8"/>
      <c r="X22" s="8" t="str">
        <f t="shared" si="5"/>
        <v/>
      </c>
      <c r="Y22" s="8" t="str">
        <f t="shared" si="6"/>
        <v/>
      </c>
      <c r="Z22" s="8" t="str">
        <f t="shared" si="1"/>
        <v/>
      </c>
      <c r="AA22" s="8"/>
      <c r="AB22" s="57"/>
      <c r="AC22" s="8"/>
      <c r="AD22" s="8" t="str">
        <f t="shared" si="2"/>
        <v/>
      </c>
      <c r="AE22" s="8"/>
      <c r="AF22" s="17"/>
    </row>
    <row r="23" spans="1:32" s="9" customFormat="1" ht="49.5" customHeight="1">
      <c r="A23" s="50" t="str">
        <f t="shared" si="0"/>
        <v/>
      </c>
      <c r="B23" s="51"/>
      <c r="C23" s="21" t="str">
        <f t="shared" si="3"/>
        <v/>
      </c>
      <c r="D23" s="46" t="str">
        <f>IFERROR(VLOOKUP(C23,ユーザーリスト!$A:$B,2,0),"")</f>
        <v/>
      </c>
      <c r="E23" s="52"/>
      <c r="F23" s="52"/>
      <c r="G23" s="46"/>
      <c r="H23" s="53"/>
      <c r="I23" s="21" t="str" cm="1">
        <f t="array" ref="I23">IF(U23&lt;&gt;"",INDEX(_xlfn.TEXTSPLIT(#REF!,"_"),2),"")</f>
        <v/>
      </c>
      <c r="J23" s="21" t="str">
        <f t="shared" si="4"/>
        <v/>
      </c>
      <c r="K23" s="45" t="str">
        <f>IFERROR(VLOOKUP(J23,ユーザーリスト!$A:$B,2,0),"")</f>
        <v/>
      </c>
      <c r="L23" s="48"/>
      <c r="M23" s="49"/>
      <c r="N23" s="58"/>
      <c r="O23" s="64"/>
      <c r="P23" s="64"/>
      <c r="Q23" s="64"/>
      <c r="R23" s="64"/>
      <c r="S23" s="59"/>
      <c r="T23" s="10"/>
      <c r="U23" s="8"/>
      <c r="V23" s="8"/>
      <c r="W23" s="8"/>
      <c r="X23" s="8" t="str">
        <f t="shared" si="5"/>
        <v/>
      </c>
      <c r="Y23" s="8" t="str">
        <f t="shared" si="6"/>
        <v/>
      </c>
      <c r="Z23" s="8" t="str">
        <f t="shared" si="1"/>
        <v/>
      </c>
      <c r="AA23" s="8"/>
      <c r="AB23" s="57"/>
      <c r="AC23" s="8"/>
      <c r="AD23" s="8" t="str">
        <f t="shared" si="2"/>
        <v/>
      </c>
      <c r="AE23" s="8"/>
    </row>
    <row r="24" spans="1:32" s="9" customFormat="1" ht="49.5" customHeight="1">
      <c r="A24" s="50" t="str">
        <f t="shared" si="0"/>
        <v/>
      </c>
      <c r="B24" s="51"/>
      <c r="C24" s="21" t="str">
        <f t="shared" si="3"/>
        <v/>
      </c>
      <c r="D24" s="46" t="str">
        <f>IFERROR(VLOOKUP(C24,ユーザーリスト!$A:$B,2,0),"")</f>
        <v/>
      </c>
      <c r="E24" s="52"/>
      <c r="F24" s="52"/>
      <c r="G24" s="46"/>
      <c r="H24" s="53"/>
      <c r="I24" s="21" t="str" cm="1">
        <f t="array" ref="I24">IF(U24&lt;&gt;"",INDEX(_xlfn.TEXTSPLIT(#REF!,"_"),2),"")</f>
        <v/>
      </c>
      <c r="J24" s="21" t="str">
        <f t="shared" si="4"/>
        <v/>
      </c>
      <c r="K24" s="45" t="str">
        <f>IFERROR(VLOOKUP(J24,ユーザーリスト!$A:$B,2,0),"")</f>
        <v/>
      </c>
      <c r="L24" s="48"/>
      <c r="M24" s="49"/>
      <c r="N24" s="58"/>
      <c r="O24" s="64"/>
      <c r="P24" s="64"/>
      <c r="Q24" s="64"/>
      <c r="R24" s="64"/>
      <c r="S24" s="60"/>
      <c r="U24" s="8"/>
      <c r="V24" s="8"/>
      <c r="W24" s="8"/>
      <c r="X24" s="8" t="str">
        <f t="shared" si="5"/>
        <v/>
      </c>
      <c r="Y24" s="8" t="str">
        <f t="shared" si="6"/>
        <v/>
      </c>
      <c r="Z24" s="8" t="str">
        <f t="shared" si="1"/>
        <v/>
      </c>
      <c r="AA24" s="8"/>
      <c r="AB24" s="57"/>
      <c r="AC24" s="8"/>
      <c r="AD24" s="8" t="str">
        <f t="shared" si="2"/>
        <v/>
      </c>
      <c r="AE24" s="8"/>
    </row>
    <row r="25" spans="1:32" s="9" customFormat="1" ht="49.5" customHeight="1">
      <c r="A25" s="50" t="str">
        <f t="shared" si="0"/>
        <v/>
      </c>
      <c r="B25" s="51"/>
      <c r="C25" s="21" t="str">
        <f t="shared" si="3"/>
        <v/>
      </c>
      <c r="D25" s="46" t="str">
        <f>IFERROR(VLOOKUP(C25,ユーザーリスト!$A:$B,2,0),"")</f>
        <v/>
      </c>
      <c r="E25" s="52"/>
      <c r="F25" s="52"/>
      <c r="G25" s="46"/>
      <c r="H25" s="53"/>
      <c r="I25" s="21" t="str" cm="1">
        <f t="array" ref="I25">IF(U25&lt;&gt;"",INDEX(_xlfn.TEXTSPLIT(#REF!,"_"),2),"")</f>
        <v/>
      </c>
      <c r="J25" s="21" t="str">
        <f t="shared" si="4"/>
        <v/>
      </c>
      <c r="K25" s="45" t="str">
        <f>IFERROR(VLOOKUP(J25,ユーザーリスト!$A:$B,2,0),"")</f>
        <v/>
      </c>
      <c r="L25" s="48"/>
      <c r="M25" s="49"/>
      <c r="N25" s="58"/>
      <c r="O25" s="64"/>
      <c r="P25" s="64"/>
      <c r="Q25" s="64"/>
      <c r="R25" s="64"/>
      <c r="S25" s="60"/>
      <c r="U25" s="8"/>
      <c r="V25" s="8"/>
      <c r="W25" s="8"/>
      <c r="X25" s="8" t="str">
        <f t="shared" si="5"/>
        <v/>
      </c>
      <c r="Y25" s="8" t="str">
        <f t="shared" si="6"/>
        <v/>
      </c>
      <c r="Z25" s="8" t="str">
        <f t="shared" si="1"/>
        <v/>
      </c>
      <c r="AA25" s="8"/>
      <c r="AB25" s="57"/>
      <c r="AC25" s="8"/>
      <c r="AD25" s="8" t="str">
        <f t="shared" si="2"/>
        <v/>
      </c>
      <c r="AE25" s="8"/>
    </row>
    <row r="26" spans="1:32" s="9" customFormat="1" ht="49.5" customHeight="1">
      <c r="A26" s="50" t="str">
        <f t="shared" si="0"/>
        <v/>
      </c>
      <c r="B26" s="51"/>
      <c r="C26" s="21" t="str">
        <f t="shared" si="3"/>
        <v/>
      </c>
      <c r="D26" s="46" t="str">
        <f>IFERROR(VLOOKUP(C26,ユーザーリスト!$A:$B,2,0),"")</f>
        <v/>
      </c>
      <c r="E26" s="52"/>
      <c r="F26" s="52"/>
      <c r="G26" s="46"/>
      <c r="H26" s="53"/>
      <c r="I26" s="21" t="str" cm="1">
        <f t="array" ref="I26">IF(U26&lt;&gt;"",INDEX(_xlfn.TEXTSPLIT(#REF!,"_"),2),"")</f>
        <v/>
      </c>
      <c r="J26" s="21" t="str">
        <f t="shared" si="4"/>
        <v/>
      </c>
      <c r="K26" s="45" t="str">
        <f>IFERROR(VLOOKUP(J26,ユーザーリスト!$A:$B,2,0),"")</f>
        <v/>
      </c>
      <c r="L26" s="48"/>
      <c r="M26" s="49"/>
      <c r="N26" s="58"/>
      <c r="O26" s="64"/>
      <c r="P26" s="64"/>
      <c r="Q26" s="64"/>
      <c r="R26" s="64"/>
      <c r="S26" s="60"/>
      <c r="U26" s="8"/>
      <c r="V26" s="8"/>
      <c r="W26" s="8"/>
      <c r="X26" s="8" t="str">
        <f t="shared" si="5"/>
        <v/>
      </c>
      <c r="Y26" s="8" t="str">
        <f t="shared" si="6"/>
        <v/>
      </c>
      <c r="Z26" s="8" t="str">
        <f t="shared" si="1"/>
        <v/>
      </c>
      <c r="AA26" s="8"/>
      <c r="AB26" s="57"/>
      <c r="AC26" s="8"/>
      <c r="AD26" s="8" t="str">
        <f t="shared" si="2"/>
        <v/>
      </c>
      <c r="AE26" s="8"/>
    </row>
    <row r="27" spans="1:32" s="9" customFormat="1" ht="49.5" customHeight="1">
      <c r="A27" s="50" t="str">
        <f t="shared" si="0"/>
        <v/>
      </c>
      <c r="B27" s="51"/>
      <c r="C27" s="21" t="str">
        <f t="shared" si="3"/>
        <v/>
      </c>
      <c r="D27" s="46" t="str">
        <f>IFERROR(VLOOKUP(C27,ユーザーリスト!$A:$B,2,0),"")</f>
        <v/>
      </c>
      <c r="E27" s="52"/>
      <c r="F27" s="52"/>
      <c r="G27" s="46"/>
      <c r="H27" s="53"/>
      <c r="I27" s="21" t="str" cm="1">
        <f t="array" ref="I27">IF(U27&lt;&gt;"",INDEX(_xlfn.TEXTSPLIT(#REF!,"_"),2),"")</f>
        <v/>
      </c>
      <c r="J27" s="21" t="str">
        <f t="shared" si="4"/>
        <v/>
      </c>
      <c r="K27" s="45" t="str">
        <f>IFERROR(VLOOKUP(J27,ユーザーリスト!$A:$B,2,0),"")</f>
        <v/>
      </c>
      <c r="L27" s="48"/>
      <c r="M27" s="49"/>
      <c r="N27" s="58"/>
      <c r="O27" s="64"/>
      <c r="P27" s="64"/>
      <c r="Q27" s="64"/>
      <c r="R27" s="64"/>
      <c r="S27" s="60"/>
      <c r="U27" s="8"/>
      <c r="V27" s="8"/>
      <c r="W27" s="8"/>
      <c r="X27" s="8" t="str">
        <f t="shared" si="5"/>
        <v/>
      </c>
      <c r="Y27" s="8" t="str">
        <f t="shared" si="6"/>
        <v/>
      </c>
      <c r="Z27" s="8" t="str">
        <f t="shared" si="1"/>
        <v/>
      </c>
      <c r="AA27" s="8"/>
      <c r="AB27" s="57"/>
      <c r="AC27" s="8"/>
      <c r="AD27" s="8" t="str">
        <f t="shared" si="2"/>
        <v/>
      </c>
      <c r="AE27" s="8"/>
    </row>
    <row r="28" spans="1:32" s="9" customFormat="1" ht="42.75" customHeight="1">
      <c r="A28" s="50" t="str">
        <f t="shared" si="0"/>
        <v/>
      </c>
      <c r="B28" s="51"/>
      <c r="C28" s="21" t="str">
        <f t="shared" si="3"/>
        <v/>
      </c>
      <c r="D28" s="46" t="str">
        <f>IFERROR(VLOOKUP(C28,ユーザーリスト!$A:$B,2,0),"")</f>
        <v/>
      </c>
      <c r="E28" s="52"/>
      <c r="F28" s="52"/>
      <c r="G28" s="46"/>
      <c r="H28" s="53"/>
      <c r="I28" s="21" t="str" cm="1">
        <f t="array" ref="I28">IF(U28&lt;&gt;"",INDEX(_xlfn.TEXTSPLIT(#REF!,"_"),2),"")</f>
        <v/>
      </c>
      <c r="J28" s="21" t="str">
        <f t="shared" si="4"/>
        <v/>
      </c>
      <c r="K28" s="45" t="str">
        <f>IFERROR(VLOOKUP(J28,ユーザーリスト!$A:$B,2,0),"")</f>
        <v/>
      </c>
      <c r="L28" s="48"/>
      <c r="M28" s="49"/>
      <c r="N28" s="58"/>
      <c r="O28" s="64"/>
      <c r="P28" s="64"/>
      <c r="Q28" s="64"/>
      <c r="R28" s="64"/>
      <c r="S28" s="60"/>
      <c r="U28" s="8"/>
      <c r="V28" s="8"/>
      <c r="W28" s="8"/>
      <c r="X28" s="8" t="str">
        <f t="shared" si="5"/>
        <v/>
      </c>
      <c r="Y28" s="8" t="str">
        <f t="shared" si="6"/>
        <v/>
      </c>
      <c r="Z28" s="8" t="str">
        <f t="shared" si="1"/>
        <v/>
      </c>
      <c r="AA28" s="8"/>
      <c r="AB28" s="57"/>
      <c r="AC28" s="8"/>
      <c r="AD28" s="8" t="str">
        <f t="shared" si="2"/>
        <v/>
      </c>
      <c r="AE28" s="8"/>
    </row>
    <row r="29" spans="1:32" s="9" customFormat="1" ht="42.75" customHeight="1">
      <c r="A29" s="50" t="str">
        <f t="shared" si="0"/>
        <v/>
      </c>
      <c r="B29" s="51"/>
      <c r="C29" s="21" t="str">
        <f t="shared" si="3"/>
        <v/>
      </c>
      <c r="D29" s="46" t="str">
        <f>IFERROR(VLOOKUP(C29,ユーザーリスト!$A:$B,2,0),"")</f>
        <v/>
      </c>
      <c r="E29" s="52"/>
      <c r="F29" s="52"/>
      <c r="G29" s="46"/>
      <c r="H29" s="53"/>
      <c r="I29" s="21" t="str" cm="1">
        <f t="array" ref="I29">IF(U29&lt;&gt;"",INDEX(_xlfn.TEXTSPLIT(#REF!,"_"),2),"")</f>
        <v/>
      </c>
      <c r="J29" s="21" t="str">
        <f t="shared" si="4"/>
        <v/>
      </c>
      <c r="K29" s="45" t="str">
        <f>IFERROR(VLOOKUP(J29,ユーザーリスト!$A:$B,2,0),"")</f>
        <v/>
      </c>
      <c r="L29" s="48"/>
      <c r="M29" s="49"/>
      <c r="N29" s="58"/>
      <c r="O29" s="64"/>
      <c r="P29" s="64"/>
      <c r="Q29" s="64"/>
      <c r="R29" s="64"/>
      <c r="S29" s="60"/>
      <c r="U29" s="8"/>
      <c r="V29" s="8"/>
      <c r="W29" s="8"/>
      <c r="X29" s="8" t="str">
        <f t="shared" si="5"/>
        <v/>
      </c>
      <c r="Y29" s="8" t="str">
        <f t="shared" si="6"/>
        <v/>
      </c>
      <c r="Z29" s="8" t="str">
        <f t="shared" si="1"/>
        <v/>
      </c>
      <c r="AA29" s="8"/>
      <c r="AB29" s="57"/>
      <c r="AC29" s="8"/>
      <c r="AD29" s="8" t="str">
        <f t="shared" si="2"/>
        <v/>
      </c>
      <c r="AE29" s="8"/>
    </row>
    <row r="30" spans="1:32" s="9" customFormat="1" ht="42.75" customHeight="1">
      <c r="A30" s="50" t="str">
        <f t="shared" si="0"/>
        <v/>
      </c>
      <c r="B30" s="51"/>
      <c r="C30" s="21" t="str">
        <f t="shared" si="3"/>
        <v/>
      </c>
      <c r="D30" s="46" t="str">
        <f>IFERROR(VLOOKUP(C30,ユーザーリスト!$A:$B,2,0),"")</f>
        <v/>
      </c>
      <c r="E30" s="52"/>
      <c r="F30" s="52"/>
      <c r="G30" s="46"/>
      <c r="H30" s="53"/>
      <c r="I30" s="21" t="str" cm="1">
        <f t="array" ref="I30">IF(U30&lt;&gt;"",INDEX(_xlfn.TEXTSPLIT(#REF!,"_"),2),"")</f>
        <v/>
      </c>
      <c r="J30" s="21" t="str">
        <f t="shared" si="4"/>
        <v/>
      </c>
      <c r="K30" s="45" t="str">
        <f>IFERROR(VLOOKUP(J30,ユーザーリスト!$A:$B,2,0),"")</f>
        <v/>
      </c>
      <c r="L30" s="48"/>
      <c r="M30" s="49"/>
      <c r="N30" s="58"/>
      <c r="O30" s="64"/>
      <c r="P30" s="64"/>
      <c r="Q30" s="64"/>
      <c r="R30" s="64"/>
      <c r="S30" s="60"/>
      <c r="U30" s="8"/>
      <c r="V30" s="8"/>
      <c r="W30" s="8"/>
      <c r="X30" s="8" t="str">
        <f t="shared" si="5"/>
        <v/>
      </c>
      <c r="Y30" s="8" t="str">
        <f t="shared" si="6"/>
        <v/>
      </c>
      <c r="Z30" s="8" t="str">
        <f t="shared" si="1"/>
        <v/>
      </c>
      <c r="AA30" s="8"/>
      <c r="AB30" s="57"/>
      <c r="AC30" s="8"/>
      <c r="AD30" s="8" t="str">
        <f t="shared" si="2"/>
        <v/>
      </c>
      <c r="AE30" s="8"/>
    </row>
    <row r="31" spans="1:32" s="9" customFormat="1" ht="42.75" customHeight="1">
      <c r="A31" s="50" t="str">
        <f t="shared" si="0"/>
        <v/>
      </c>
      <c r="B31" s="51"/>
      <c r="C31" s="21" t="str">
        <f t="shared" si="3"/>
        <v/>
      </c>
      <c r="D31" s="46" t="str">
        <f>IFERROR(VLOOKUP(C31,ユーザーリスト!$A:$B,2,0),"")</f>
        <v/>
      </c>
      <c r="E31" s="52"/>
      <c r="F31" s="52"/>
      <c r="G31" s="46"/>
      <c r="H31" s="53"/>
      <c r="I31" s="21" t="str" cm="1">
        <f t="array" ref="I31">IF(U31&lt;&gt;"",INDEX(_xlfn.TEXTSPLIT(#REF!,"_"),2),"")</f>
        <v/>
      </c>
      <c r="J31" s="21" t="str">
        <f t="shared" si="4"/>
        <v/>
      </c>
      <c r="K31" s="45" t="str">
        <f>IFERROR(VLOOKUP(J31,ユーザーリスト!$A:$B,2,0),"")</f>
        <v/>
      </c>
      <c r="L31" s="48"/>
      <c r="M31" s="49"/>
      <c r="N31" s="58"/>
      <c r="O31" s="64"/>
      <c r="P31" s="64"/>
      <c r="Q31" s="64"/>
      <c r="R31" s="64"/>
      <c r="S31" s="60"/>
      <c r="U31" s="8"/>
      <c r="V31" s="8"/>
      <c r="W31" s="8"/>
      <c r="X31" s="8" t="str">
        <f t="shared" si="5"/>
        <v/>
      </c>
      <c r="Y31" s="8" t="str">
        <f t="shared" si="6"/>
        <v/>
      </c>
      <c r="Z31" s="8" t="str">
        <f t="shared" si="1"/>
        <v/>
      </c>
      <c r="AA31" s="8"/>
      <c r="AB31" s="57"/>
      <c r="AC31" s="8"/>
      <c r="AD31" s="8" t="str">
        <f t="shared" si="2"/>
        <v/>
      </c>
      <c r="AE31" s="8"/>
    </row>
    <row r="32" spans="1:32" s="9" customFormat="1" ht="42.75" customHeight="1">
      <c r="A32" s="50" t="str">
        <f t="shared" si="0"/>
        <v/>
      </c>
      <c r="B32" s="51"/>
      <c r="C32" s="21" t="str">
        <f t="shared" si="3"/>
        <v/>
      </c>
      <c r="D32" s="46" t="str">
        <f>IFERROR(VLOOKUP(C32,ユーザーリスト!$A:$B,2,0),"")</f>
        <v/>
      </c>
      <c r="E32" s="52"/>
      <c r="F32" s="52"/>
      <c r="G32" s="46"/>
      <c r="H32" s="53"/>
      <c r="I32" s="21" t="str" cm="1">
        <f t="array" ref="I32">IF(U32&lt;&gt;"",INDEX(_xlfn.TEXTSPLIT(#REF!,"_"),2),"")</f>
        <v/>
      </c>
      <c r="J32" s="21" t="str">
        <f t="shared" si="4"/>
        <v/>
      </c>
      <c r="K32" s="45" t="str">
        <f>IFERROR(VLOOKUP(J32,ユーザーリスト!$A:$B,2,0),"")</f>
        <v/>
      </c>
      <c r="L32" s="48"/>
      <c r="M32" s="49"/>
      <c r="N32" s="58"/>
      <c r="O32" s="64"/>
      <c r="P32" s="64"/>
      <c r="Q32" s="64"/>
      <c r="R32" s="64"/>
      <c r="S32" s="60"/>
      <c r="U32" s="8"/>
      <c r="V32" s="8"/>
      <c r="W32" s="8"/>
      <c r="X32" s="8" t="str">
        <f t="shared" si="5"/>
        <v/>
      </c>
      <c r="Y32" s="8" t="str">
        <f t="shared" si="6"/>
        <v/>
      </c>
      <c r="Z32" s="8" t="str">
        <f t="shared" si="1"/>
        <v/>
      </c>
      <c r="AA32" s="8"/>
      <c r="AB32" s="57"/>
      <c r="AC32" s="8"/>
      <c r="AD32" s="8" t="str">
        <f t="shared" si="2"/>
        <v/>
      </c>
      <c r="AE32" s="8"/>
    </row>
    <row r="33" spans="1:31" s="9" customFormat="1" ht="42.75" customHeight="1">
      <c r="A33" s="50" t="str">
        <f t="shared" si="0"/>
        <v/>
      </c>
      <c r="B33" s="51"/>
      <c r="C33" s="21" t="str">
        <f t="shared" si="3"/>
        <v/>
      </c>
      <c r="D33" s="46" t="str">
        <f>IFERROR(VLOOKUP(C33,ユーザーリスト!$A:$B,2,0),"")</f>
        <v/>
      </c>
      <c r="E33" s="52"/>
      <c r="F33" s="52"/>
      <c r="G33" s="46"/>
      <c r="H33" s="53"/>
      <c r="I33" s="21" t="str" cm="1">
        <f t="array" ref="I33">IF(U33&lt;&gt;"",INDEX(_xlfn.TEXTSPLIT(#REF!,"_"),2),"")</f>
        <v/>
      </c>
      <c r="J33" s="21" t="str">
        <f t="shared" si="4"/>
        <v/>
      </c>
      <c r="K33" s="45" t="str">
        <f>IFERROR(VLOOKUP(J33,ユーザーリスト!$A:$B,2,0),"")</f>
        <v/>
      </c>
      <c r="L33" s="48"/>
      <c r="M33" s="49"/>
      <c r="N33" s="58"/>
      <c r="O33" s="64"/>
      <c r="P33" s="64"/>
      <c r="Q33" s="64"/>
      <c r="R33" s="64"/>
      <c r="S33" s="60"/>
      <c r="U33" s="8"/>
      <c r="V33" s="8"/>
      <c r="W33" s="8"/>
      <c r="X33" s="8" t="str">
        <f t="shared" si="5"/>
        <v/>
      </c>
      <c r="Y33" s="8" t="str">
        <f t="shared" si="6"/>
        <v/>
      </c>
      <c r="Z33" s="8" t="str">
        <f t="shared" si="1"/>
        <v/>
      </c>
      <c r="AA33" s="8"/>
      <c r="AB33" s="57"/>
      <c r="AC33" s="8"/>
      <c r="AD33" s="8" t="str">
        <f t="shared" si="2"/>
        <v/>
      </c>
      <c r="AE33" s="8"/>
    </row>
    <row r="34" spans="1:31" s="9" customFormat="1" ht="42.75" customHeight="1">
      <c r="A34" s="50" t="str">
        <f t="shared" si="0"/>
        <v/>
      </c>
      <c r="B34" s="51"/>
      <c r="C34" s="21" t="str">
        <f t="shared" si="3"/>
        <v/>
      </c>
      <c r="D34" s="46" t="str">
        <f>IFERROR(VLOOKUP(C34,ユーザーリスト!$A:$B,2,0),"")</f>
        <v/>
      </c>
      <c r="E34" s="52"/>
      <c r="F34" s="52"/>
      <c r="G34" s="46"/>
      <c r="H34" s="53"/>
      <c r="I34" s="21" t="str" cm="1">
        <f t="array" ref="I34">IF(U34&lt;&gt;"",INDEX(_xlfn.TEXTSPLIT(#REF!,"_"),2),"")</f>
        <v/>
      </c>
      <c r="J34" s="21" t="str">
        <f t="shared" si="4"/>
        <v/>
      </c>
      <c r="K34" s="45" t="str">
        <f>IFERROR(VLOOKUP(J34,ユーザーリスト!$A:$B,2,0),"")</f>
        <v/>
      </c>
      <c r="L34" s="48"/>
      <c r="M34" s="49"/>
      <c r="N34" s="58"/>
      <c r="O34" s="64"/>
      <c r="P34" s="64"/>
      <c r="Q34" s="64"/>
      <c r="R34" s="64"/>
      <c r="S34" s="60"/>
      <c r="U34" s="8"/>
      <c r="V34" s="8"/>
      <c r="W34" s="8"/>
      <c r="X34" s="8" t="str">
        <f t="shared" si="5"/>
        <v/>
      </c>
      <c r="Y34" s="8" t="str">
        <f t="shared" si="6"/>
        <v/>
      </c>
      <c r="Z34" s="8" t="str">
        <f t="shared" si="1"/>
        <v/>
      </c>
      <c r="AA34" s="8"/>
      <c r="AB34" s="57"/>
      <c r="AC34" s="8"/>
      <c r="AD34" s="8" t="str">
        <f t="shared" si="2"/>
        <v/>
      </c>
      <c r="AE34" s="8"/>
    </row>
    <row r="35" spans="1:31" s="9" customFormat="1" ht="42.75" customHeight="1">
      <c r="A35" s="50" t="str">
        <f t="shared" si="0"/>
        <v/>
      </c>
      <c r="B35" s="51"/>
      <c r="C35" s="21" t="str">
        <f t="shared" si="3"/>
        <v/>
      </c>
      <c r="D35" s="46" t="str">
        <f>IFERROR(VLOOKUP(C35,ユーザーリスト!$A:$B,2,0),"")</f>
        <v/>
      </c>
      <c r="E35" s="52"/>
      <c r="F35" s="52"/>
      <c r="G35" s="46"/>
      <c r="H35" s="53"/>
      <c r="I35" s="21" t="str" cm="1">
        <f t="array" ref="I35">IF(U35&lt;&gt;"",INDEX(_xlfn.TEXTSPLIT(#REF!,"_"),2),"")</f>
        <v/>
      </c>
      <c r="J35" s="21" t="str">
        <f t="shared" si="4"/>
        <v/>
      </c>
      <c r="K35" s="45" t="str">
        <f>IFERROR(VLOOKUP(J35,ユーザーリスト!$A:$B,2,0),"")</f>
        <v/>
      </c>
      <c r="L35" s="48"/>
      <c r="M35" s="49"/>
      <c r="N35" s="58"/>
      <c r="O35" s="64"/>
      <c r="P35" s="64"/>
      <c r="Q35" s="64"/>
      <c r="R35" s="64"/>
      <c r="S35" s="60"/>
      <c r="U35" s="8"/>
      <c r="V35" s="8"/>
      <c r="W35" s="8"/>
      <c r="X35" s="8" t="str">
        <f t="shared" si="5"/>
        <v/>
      </c>
      <c r="Y35" s="8" t="str">
        <f t="shared" si="6"/>
        <v/>
      </c>
      <c r="Z35" s="8" t="str">
        <f t="shared" si="1"/>
        <v/>
      </c>
      <c r="AA35" s="8"/>
      <c r="AB35" s="57"/>
      <c r="AC35" s="8"/>
      <c r="AD35" s="8" t="str">
        <f t="shared" si="2"/>
        <v/>
      </c>
      <c r="AE35" s="8"/>
    </row>
    <row r="36" spans="1:31" s="9" customFormat="1" ht="42.75" customHeight="1">
      <c r="A36" s="50" t="str">
        <f t="shared" si="0"/>
        <v/>
      </c>
      <c r="B36" s="51"/>
      <c r="C36" s="21" t="str">
        <f t="shared" si="3"/>
        <v/>
      </c>
      <c r="D36" s="46" t="str">
        <f>IFERROR(VLOOKUP(C36,ユーザーリスト!$A:$B,2,0),"")</f>
        <v/>
      </c>
      <c r="E36" s="52"/>
      <c r="F36" s="52"/>
      <c r="G36" s="46"/>
      <c r="H36" s="53"/>
      <c r="I36" s="21" t="str" cm="1">
        <f t="array" ref="I36">IF(U36&lt;&gt;"",INDEX(_xlfn.TEXTSPLIT(#REF!,"_"),2),"")</f>
        <v/>
      </c>
      <c r="J36" s="21" t="str">
        <f t="shared" si="4"/>
        <v/>
      </c>
      <c r="K36" s="45" t="str">
        <f>IFERROR(VLOOKUP(J36,ユーザーリスト!$A:$B,2,0),"")</f>
        <v/>
      </c>
      <c r="L36" s="48"/>
      <c r="M36" s="49"/>
      <c r="N36" s="58"/>
      <c r="O36" s="64"/>
      <c r="P36" s="64"/>
      <c r="Q36" s="64"/>
      <c r="R36" s="64"/>
      <c r="S36" s="60"/>
      <c r="U36" s="8"/>
      <c r="V36" s="8"/>
      <c r="W36" s="8"/>
      <c r="X36" s="8" t="str">
        <f t="shared" si="5"/>
        <v/>
      </c>
      <c r="Y36" s="8" t="str">
        <f t="shared" si="6"/>
        <v/>
      </c>
      <c r="Z36" s="8" t="str">
        <f t="shared" si="1"/>
        <v/>
      </c>
      <c r="AA36" s="8"/>
      <c r="AB36" s="57"/>
      <c r="AC36" s="8"/>
      <c r="AD36" s="8" t="str">
        <f t="shared" si="2"/>
        <v/>
      </c>
      <c r="AE36" s="8"/>
    </row>
    <row r="37" spans="1:31" s="9" customFormat="1" ht="42.75" customHeight="1">
      <c r="A37" s="50" t="str">
        <f t="shared" si="0"/>
        <v/>
      </c>
      <c r="B37" s="51"/>
      <c r="C37" s="21" t="str">
        <f t="shared" si="3"/>
        <v/>
      </c>
      <c r="D37" s="46" t="str">
        <f>IFERROR(VLOOKUP(C37,ユーザーリスト!$A:$B,2,0),"")</f>
        <v/>
      </c>
      <c r="E37" s="52"/>
      <c r="F37" s="52"/>
      <c r="G37" s="46"/>
      <c r="H37" s="53"/>
      <c r="I37" s="21" t="str" cm="1">
        <f t="array" ref="I37">IF(U37&lt;&gt;"",INDEX(_xlfn.TEXTSPLIT(#REF!,"_"),2),"")</f>
        <v/>
      </c>
      <c r="J37" s="21" t="str">
        <f t="shared" si="4"/>
        <v/>
      </c>
      <c r="K37" s="45" t="str">
        <f>IFERROR(VLOOKUP(J37,ユーザーリスト!$A:$B,2,0),"")</f>
        <v/>
      </c>
      <c r="L37" s="48"/>
      <c r="M37" s="49"/>
      <c r="N37" s="58"/>
      <c r="O37" s="64"/>
      <c r="P37" s="64"/>
      <c r="Q37" s="64"/>
      <c r="R37" s="64"/>
      <c r="S37" s="60"/>
      <c r="U37" s="8"/>
      <c r="V37" s="8"/>
      <c r="W37" s="8"/>
      <c r="X37" s="8" t="str">
        <f t="shared" si="5"/>
        <v/>
      </c>
      <c r="Y37" s="8" t="str">
        <f t="shared" si="6"/>
        <v/>
      </c>
      <c r="Z37" s="8" t="str">
        <f t="shared" si="1"/>
        <v/>
      </c>
      <c r="AA37" s="8"/>
      <c r="AB37" s="57"/>
      <c r="AC37" s="8"/>
      <c r="AD37" s="8" t="str">
        <f t="shared" si="2"/>
        <v/>
      </c>
      <c r="AE37" s="8"/>
    </row>
    <row r="38" spans="1:31" s="9" customFormat="1" ht="42.75" customHeight="1">
      <c r="A38" s="50" t="str">
        <f t="shared" si="0"/>
        <v/>
      </c>
      <c r="B38" s="51"/>
      <c r="C38" s="21" t="str">
        <f t="shared" si="3"/>
        <v/>
      </c>
      <c r="D38" s="46" t="str">
        <f>IFERROR(VLOOKUP(C38,ユーザーリスト!$A:$B,2,0),"")</f>
        <v/>
      </c>
      <c r="E38" s="52"/>
      <c r="F38" s="52"/>
      <c r="G38" s="46"/>
      <c r="H38" s="53"/>
      <c r="I38" s="21" t="str" cm="1">
        <f t="array" ref="I38">IF(U38&lt;&gt;"",INDEX(_xlfn.TEXTSPLIT(#REF!,"_"),2),"")</f>
        <v/>
      </c>
      <c r="J38" s="21" t="str">
        <f t="shared" si="4"/>
        <v/>
      </c>
      <c r="K38" s="45" t="str">
        <f>IFERROR(VLOOKUP(J38,ユーザーリスト!$A:$B,2,0),"")</f>
        <v/>
      </c>
      <c r="L38" s="48"/>
      <c r="M38" s="49"/>
      <c r="N38" s="58"/>
      <c r="O38" s="64"/>
      <c r="P38" s="64"/>
      <c r="Q38" s="64"/>
      <c r="R38" s="64"/>
      <c r="S38" s="60"/>
      <c r="U38" s="8"/>
      <c r="V38" s="8"/>
      <c r="W38" s="8"/>
      <c r="X38" s="8" t="str">
        <f t="shared" si="5"/>
        <v/>
      </c>
      <c r="Y38" s="8" t="str">
        <f t="shared" si="6"/>
        <v/>
      </c>
      <c r="Z38" s="8" t="str">
        <f t="shared" si="1"/>
        <v/>
      </c>
      <c r="AA38" s="8"/>
      <c r="AB38" s="57"/>
      <c r="AC38" s="8"/>
      <c r="AD38" s="8" t="str">
        <f t="shared" si="2"/>
        <v/>
      </c>
      <c r="AE38" s="8"/>
    </row>
    <row r="39" spans="1:31" s="9" customFormat="1" ht="42.75" customHeight="1">
      <c r="A39" s="50" t="str">
        <f t="shared" si="0"/>
        <v/>
      </c>
      <c r="B39" s="51"/>
      <c r="C39" s="21" t="str">
        <f t="shared" si="3"/>
        <v/>
      </c>
      <c r="D39" s="46" t="str">
        <f>IFERROR(VLOOKUP(C39,ユーザーリスト!$A:$B,2,0),"")</f>
        <v/>
      </c>
      <c r="E39" s="52"/>
      <c r="F39" s="52"/>
      <c r="G39" s="46"/>
      <c r="H39" s="53"/>
      <c r="I39" s="21" t="str" cm="1">
        <f t="array" ref="I39">IF(U39&lt;&gt;"",INDEX(_xlfn.TEXTSPLIT(#REF!,"_"),2),"")</f>
        <v/>
      </c>
      <c r="J39" s="21" t="str">
        <f t="shared" si="4"/>
        <v/>
      </c>
      <c r="K39" s="45" t="str">
        <f>IFERROR(VLOOKUP(J39,ユーザーリスト!$A:$B,2,0),"")</f>
        <v/>
      </c>
      <c r="L39" s="48"/>
      <c r="M39" s="49"/>
      <c r="N39" s="58"/>
      <c r="O39" s="64"/>
      <c r="P39" s="64"/>
      <c r="Q39" s="64"/>
      <c r="R39" s="64"/>
      <c r="S39" s="60"/>
      <c r="U39" s="8"/>
      <c r="V39" s="8"/>
      <c r="W39" s="8"/>
      <c r="X39" s="8" t="str">
        <f t="shared" si="5"/>
        <v/>
      </c>
      <c r="Y39" s="8" t="str">
        <f t="shared" si="6"/>
        <v/>
      </c>
      <c r="Z39" s="8" t="str">
        <f t="shared" si="1"/>
        <v/>
      </c>
      <c r="AA39" s="8"/>
      <c r="AB39" s="57"/>
      <c r="AC39" s="8"/>
      <c r="AD39" s="8" t="str">
        <f t="shared" si="2"/>
        <v/>
      </c>
      <c r="AE39" s="8"/>
    </row>
    <row r="40" spans="1:31" s="9" customFormat="1" ht="42.75" customHeight="1">
      <c r="A40" s="50" t="str">
        <f t="shared" si="0"/>
        <v/>
      </c>
      <c r="B40" s="51"/>
      <c r="C40" s="21" t="str">
        <f t="shared" si="3"/>
        <v/>
      </c>
      <c r="D40" s="46" t="str">
        <f>IFERROR(VLOOKUP(C40,ユーザーリスト!$A:$B,2,0),"")</f>
        <v/>
      </c>
      <c r="E40" s="52"/>
      <c r="F40" s="52"/>
      <c r="G40" s="46"/>
      <c r="H40" s="53"/>
      <c r="I40" s="21" t="str" cm="1">
        <f t="array" ref="I40">IF(U40&lt;&gt;"",INDEX(_xlfn.TEXTSPLIT(#REF!,"_"),2),"")</f>
        <v/>
      </c>
      <c r="J40" s="21" t="str">
        <f t="shared" si="4"/>
        <v/>
      </c>
      <c r="K40" s="45" t="str">
        <f>IFERROR(VLOOKUP(J40,ユーザーリスト!$A:$B,2,0),"")</f>
        <v/>
      </c>
      <c r="L40" s="48"/>
      <c r="M40" s="49"/>
      <c r="N40" s="58"/>
      <c r="O40" s="64"/>
      <c r="P40" s="64"/>
      <c r="Q40" s="64"/>
      <c r="R40" s="64"/>
      <c r="S40" s="60"/>
      <c r="U40" s="8"/>
      <c r="V40" s="8"/>
      <c r="W40" s="8"/>
      <c r="X40" s="8" t="str">
        <f t="shared" si="5"/>
        <v/>
      </c>
      <c r="Y40" s="8" t="str">
        <f t="shared" si="6"/>
        <v/>
      </c>
      <c r="Z40" s="8" t="str">
        <f t="shared" si="1"/>
        <v/>
      </c>
      <c r="AA40" s="8"/>
      <c r="AB40" s="57"/>
      <c r="AC40" s="8"/>
      <c r="AD40" s="8" t="str">
        <f t="shared" si="2"/>
        <v/>
      </c>
      <c r="AE40" s="8"/>
    </row>
    <row r="41" spans="1:31" s="9" customFormat="1" ht="42.75" customHeight="1">
      <c r="A41" s="50" t="str">
        <f t="shared" si="0"/>
        <v/>
      </c>
      <c r="B41" s="51"/>
      <c r="C41" s="21" t="str">
        <f t="shared" si="3"/>
        <v/>
      </c>
      <c r="D41" s="46" t="str">
        <f>IFERROR(VLOOKUP(C41,ユーザーリスト!$A:$B,2,0),"")</f>
        <v/>
      </c>
      <c r="E41" s="52"/>
      <c r="F41" s="52"/>
      <c r="G41" s="46"/>
      <c r="H41" s="53"/>
      <c r="I41" s="21" t="str" cm="1">
        <f t="array" ref="I41">IF(U41&lt;&gt;"",INDEX(_xlfn.TEXTSPLIT(#REF!,"_"),2),"")</f>
        <v/>
      </c>
      <c r="J41" s="21" t="str">
        <f t="shared" si="4"/>
        <v/>
      </c>
      <c r="K41" s="45" t="str">
        <f>IFERROR(VLOOKUP(J41,ユーザーリスト!$A:$B,2,0),"")</f>
        <v/>
      </c>
      <c r="L41" s="48"/>
      <c r="M41" s="49"/>
      <c r="N41" s="58"/>
      <c r="O41" s="64"/>
      <c r="P41" s="64"/>
      <c r="Q41" s="64"/>
      <c r="R41" s="64"/>
      <c r="S41" s="60"/>
      <c r="U41" s="8"/>
      <c r="V41" s="8"/>
      <c r="W41" s="8"/>
      <c r="X41" s="8" t="str">
        <f t="shared" si="5"/>
        <v/>
      </c>
      <c r="Y41" s="8" t="str">
        <f t="shared" si="6"/>
        <v/>
      </c>
      <c r="Z41" s="8" t="str">
        <f t="shared" si="1"/>
        <v/>
      </c>
      <c r="AA41" s="8"/>
      <c r="AB41" s="57"/>
      <c r="AC41" s="8"/>
      <c r="AD41" s="8" t="str">
        <f t="shared" si="2"/>
        <v/>
      </c>
      <c r="AE41" s="8"/>
    </row>
    <row r="42" spans="1:31" s="9" customFormat="1" ht="42.75" customHeight="1">
      <c r="A42" s="50" t="str">
        <f t="shared" si="0"/>
        <v/>
      </c>
      <c r="B42" s="51"/>
      <c r="C42" s="21" t="str">
        <f t="shared" si="3"/>
        <v/>
      </c>
      <c r="D42" s="46" t="str">
        <f>IFERROR(VLOOKUP(C42,ユーザーリスト!$A:$B,2,0),"")</f>
        <v/>
      </c>
      <c r="E42" s="52"/>
      <c r="F42" s="52"/>
      <c r="G42" s="46"/>
      <c r="H42" s="53"/>
      <c r="I42" s="21" t="str" cm="1">
        <f t="array" ref="I42">IF(U42&lt;&gt;"",INDEX(_xlfn.TEXTSPLIT(#REF!,"_"),2),"")</f>
        <v/>
      </c>
      <c r="J42" s="21" t="str">
        <f t="shared" si="4"/>
        <v/>
      </c>
      <c r="K42" s="45" t="str">
        <f>IFERROR(VLOOKUP(J42,ユーザーリスト!$A:$B,2,0),"")</f>
        <v/>
      </c>
      <c r="L42" s="48"/>
      <c r="M42" s="49"/>
      <c r="N42" s="58"/>
      <c r="O42" s="64"/>
      <c r="P42" s="64"/>
      <c r="Q42" s="64"/>
      <c r="R42" s="64"/>
      <c r="S42" s="60"/>
      <c r="U42" s="8"/>
      <c r="V42" s="8"/>
      <c r="W42" s="8"/>
      <c r="X42" s="8" t="str">
        <f t="shared" si="5"/>
        <v/>
      </c>
      <c r="Y42" s="8" t="str">
        <f t="shared" si="6"/>
        <v/>
      </c>
      <c r="Z42" s="8" t="str">
        <f t="shared" si="1"/>
        <v/>
      </c>
      <c r="AA42" s="8"/>
      <c r="AB42" s="57"/>
      <c r="AC42" s="8"/>
      <c r="AD42" s="8" t="str">
        <f t="shared" si="2"/>
        <v/>
      </c>
      <c r="AE42" s="8"/>
    </row>
    <row r="43" spans="1:31" s="9" customFormat="1" ht="42.75" customHeight="1">
      <c r="A43" s="50" t="str">
        <f t="shared" si="0"/>
        <v/>
      </c>
      <c r="B43" s="51"/>
      <c r="C43" s="21" t="str">
        <f t="shared" si="3"/>
        <v/>
      </c>
      <c r="D43" s="46" t="str">
        <f>IFERROR(VLOOKUP(C43,ユーザーリスト!$A:$B,2,0),"")</f>
        <v/>
      </c>
      <c r="E43" s="52"/>
      <c r="F43" s="52"/>
      <c r="G43" s="46"/>
      <c r="H43" s="53"/>
      <c r="I43" s="21" t="str" cm="1">
        <f t="array" ref="I43">IF(U43&lt;&gt;"",INDEX(_xlfn.TEXTSPLIT(#REF!,"_"),2),"")</f>
        <v/>
      </c>
      <c r="J43" s="21" t="str">
        <f t="shared" si="4"/>
        <v/>
      </c>
      <c r="K43" s="45" t="str">
        <f>IFERROR(VLOOKUP(J43,ユーザーリスト!$A:$B,2,0),"")</f>
        <v/>
      </c>
      <c r="L43" s="48"/>
      <c r="M43" s="49"/>
      <c r="N43" s="58"/>
      <c r="O43" s="64"/>
      <c r="P43" s="64"/>
      <c r="Q43" s="64"/>
      <c r="R43" s="64"/>
      <c r="S43" s="60"/>
      <c r="U43" s="8"/>
      <c r="V43" s="8"/>
      <c r="W43" s="8"/>
      <c r="X43" s="8" t="str">
        <f t="shared" si="5"/>
        <v/>
      </c>
      <c r="Y43" s="8" t="str">
        <f t="shared" si="6"/>
        <v/>
      </c>
      <c r="Z43" s="8" t="str">
        <f t="shared" si="1"/>
        <v/>
      </c>
      <c r="AA43" s="8"/>
      <c r="AB43" s="57"/>
      <c r="AC43" s="8"/>
      <c r="AD43" s="8" t="str">
        <f t="shared" si="2"/>
        <v/>
      </c>
      <c r="AE43" s="8"/>
    </row>
    <row r="44" spans="1:31" s="9" customFormat="1" ht="42.75" customHeight="1">
      <c r="A44" s="50" t="str">
        <f t="shared" si="0"/>
        <v/>
      </c>
      <c r="B44" s="51"/>
      <c r="C44" s="21" t="str">
        <f t="shared" si="3"/>
        <v/>
      </c>
      <c r="D44" s="46" t="str">
        <f>IFERROR(VLOOKUP(C44,ユーザーリスト!$A:$B,2,0),"")</f>
        <v/>
      </c>
      <c r="E44" s="52"/>
      <c r="F44" s="52"/>
      <c r="G44" s="46"/>
      <c r="H44" s="53"/>
      <c r="I44" s="21" t="str" cm="1">
        <f t="array" ref="I44">IF(U44&lt;&gt;"",INDEX(_xlfn.TEXTSPLIT(#REF!,"_"),2),"")</f>
        <v/>
      </c>
      <c r="J44" s="21" t="str">
        <f t="shared" si="4"/>
        <v/>
      </c>
      <c r="K44" s="45" t="str">
        <f>IFERROR(VLOOKUP(J44,ユーザーリスト!$A:$B,2,0),"")</f>
        <v/>
      </c>
      <c r="L44" s="48"/>
      <c r="M44" s="49"/>
      <c r="N44" s="58"/>
      <c r="O44" s="64"/>
      <c r="P44" s="64"/>
      <c r="Q44" s="64"/>
      <c r="R44" s="64"/>
      <c r="S44" s="60"/>
      <c r="U44" s="8"/>
      <c r="V44" s="8"/>
      <c r="W44" s="8"/>
      <c r="X44" s="8" t="str">
        <f t="shared" si="5"/>
        <v/>
      </c>
      <c r="Y44" s="8" t="str">
        <f t="shared" si="6"/>
        <v/>
      </c>
      <c r="Z44" s="8" t="str">
        <f t="shared" si="1"/>
        <v/>
      </c>
      <c r="AA44" s="8"/>
      <c r="AB44" s="57"/>
      <c r="AC44" s="8"/>
      <c r="AD44" s="8" t="str">
        <f t="shared" si="2"/>
        <v/>
      </c>
      <c r="AE44" s="8"/>
    </row>
    <row r="45" spans="1:31" s="9" customFormat="1" ht="42.75" customHeight="1">
      <c r="A45" s="50" t="str">
        <f t="shared" si="0"/>
        <v/>
      </c>
      <c r="B45" s="51"/>
      <c r="C45" s="21" t="str">
        <f t="shared" si="3"/>
        <v/>
      </c>
      <c r="D45" s="46" t="str">
        <f>IFERROR(VLOOKUP(C45,ユーザーリスト!$A:$B,2,0),"")</f>
        <v/>
      </c>
      <c r="E45" s="52"/>
      <c r="F45" s="52"/>
      <c r="G45" s="46"/>
      <c r="H45" s="53"/>
      <c r="I45" s="21" t="str" cm="1">
        <f t="array" ref="I45">IF(U45&lt;&gt;"",INDEX(_xlfn.TEXTSPLIT(#REF!,"_"),2),"")</f>
        <v/>
      </c>
      <c r="J45" s="21" t="str">
        <f t="shared" si="4"/>
        <v/>
      </c>
      <c r="K45" s="45" t="str">
        <f>IFERROR(VLOOKUP(J45,ユーザーリスト!$A:$B,2,0),"")</f>
        <v/>
      </c>
      <c r="L45" s="48"/>
      <c r="M45" s="49"/>
      <c r="N45" s="58"/>
      <c r="O45" s="64"/>
      <c r="P45" s="64"/>
      <c r="Q45" s="64"/>
      <c r="R45" s="64"/>
      <c r="S45" s="60"/>
      <c r="U45" s="8"/>
      <c r="V45" s="8"/>
      <c r="W45" s="8"/>
      <c r="X45" s="8" t="str">
        <f t="shared" si="5"/>
        <v/>
      </c>
      <c r="Y45" s="8" t="str">
        <f t="shared" si="6"/>
        <v/>
      </c>
      <c r="Z45" s="8" t="str">
        <f t="shared" si="1"/>
        <v/>
      </c>
      <c r="AA45" s="8"/>
      <c r="AB45" s="57"/>
      <c r="AC45" s="8"/>
      <c r="AD45" s="8" t="str">
        <f t="shared" si="2"/>
        <v/>
      </c>
      <c r="AE45" s="8"/>
    </row>
    <row r="46" spans="1:31" s="9" customFormat="1" ht="42.75" customHeight="1">
      <c r="A46" s="50" t="str">
        <f t="shared" si="0"/>
        <v/>
      </c>
      <c r="B46" s="51"/>
      <c r="C46" s="21" t="str">
        <f t="shared" si="3"/>
        <v/>
      </c>
      <c r="D46" s="46" t="str">
        <f>IFERROR(VLOOKUP(C46,ユーザーリスト!$A:$B,2,0),"")</f>
        <v/>
      </c>
      <c r="E46" s="52"/>
      <c r="F46" s="52"/>
      <c r="G46" s="46"/>
      <c r="H46" s="53"/>
      <c r="I46" s="21" t="str" cm="1">
        <f t="array" ref="I46">IF(U46&lt;&gt;"",INDEX(_xlfn.TEXTSPLIT(#REF!,"_"),2),"")</f>
        <v/>
      </c>
      <c r="J46" s="21" t="str">
        <f t="shared" si="4"/>
        <v/>
      </c>
      <c r="K46" s="45" t="str">
        <f>IFERROR(VLOOKUP(J46,ユーザーリスト!$A:$B,2,0),"")</f>
        <v/>
      </c>
      <c r="L46" s="48"/>
      <c r="M46" s="49"/>
      <c r="N46" s="58"/>
      <c r="O46" s="64"/>
      <c r="P46" s="64"/>
      <c r="Q46" s="64"/>
      <c r="R46" s="64"/>
      <c r="S46" s="60"/>
      <c r="U46" s="8"/>
      <c r="V46" s="8"/>
      <c r="W46" s="8"/>
      <c r="X46" s="8" t="str">
        <f t="shared" si="5"/>
        <v/>
      </c>
      <c r="Y46" s="8" t="str">
        <f t="shared" si="6"/>
        <v/>
      </c>
      <c r="Z46" s="8" t="str">
        <f t="shared" si="1"/>
        <v/>
      </c>
      <c r="AA46" s="8"/>
      <c r="AB46" s="57"/>
      <c r="AC46" s="8"/>
      <c r="AD46" s="8" t="str">
        <f t="shared" si="2"/>
        <v/>
      </c>
      <c r="AE46" s="8"/>
    </row>
    <row r="47" spans="1:31" s="9" customFormat="1" ht="42.75" customHeight="1">
      <c r="A47" s="50" t="str">
        <f t="shared" si="0"/>
        <v/>
      </c>
      <c r="B47" s="51"/>
      <c r="C47" s="21" t="str">
        <f t="shared" si="3"/>
        <v/>
      </c>
      <c r="D47" s="46" t="str">
        <f>IFERROR(VLOOKUP(C47,ユーザーリスト!$A:$B,2,0),"")</f>
        <v/>
      </c>
      <c r="E47" s="52"/>
      <c r="F47" s="52"/>
      <c r="G47" s="46"/>
      <c r="H47" s="53"/>
      <c r="I47" s="21" t="str" cm="1">
        <f t="array" ref="I47">IF(U47&lt;&gt;"",INDEX(_xlfn.TEXTSPLIT(#REF!,"_"),2),"")</f>
        <v/>
      </c>
      <c r="J47" s="21" t="str">
        <f t="shared" si="4"/>
        <v/>
      </c>
      <c r="K47" s="45" t="str">
        <f>IFERROR(VLOOKUP(J47,ユーザーリスト!$A:$B,2,0),"")</f>
        <v/>
      </c>
      <c r="L47" s="48"/>
      <c r="M47" s="49"/>
      <c r="N47" s="58"/>
      <c r="O47" s="64"/>
      <c r="P47" s="64"/>
      <c r="Q47" s="64"/>
      <c r="R47" s="64"/>
      <c r="S47" s="60"/>
      <c r="U47" s="8"/>
      <c r="V47" s="8"/>
      <c r="W47" s="8"/>
      <c r="X47" s="8" t="str">
        <f t="shared" si="5"/>
        <v/>
      </c>
      <c r="Y47" s="8" t="str">
        <f t="shared" si="6"/>
        <v/>
      </c>
      <c r="Z47" s="8" t="str">
        <f t="shared" si="1"/>
        <v/>
      </c>
      <c r="AA47" s="8"/>
      <c r="AB47" s="57"/>
      <c r="AC47" s="8"/>
      <c r="AD47" s="8" t="str">
        <f t="shared" si="2"/>
        <v/>
      </c>
      <c r="AE47" s="8"/>
    </row>
    <row r="48" spans="1:31" s="9" customFormat="1" ht="42.75" customHeight="1">
      <c r="A48" s="50" t="str">
        <f t="shared" si="0"/>
        <v/>
      </c>
      <c r="B48" s="51"/>
      <c r="C48" s="21" t="str">
        <f t="shared" si="3"/>
        <v/>
      </c>
      <c r="D48" s="46" t="str">
        <f>IFERROR(VLOOKUP(C48,ユーザーリスト!$A:$B,2,0),"")</f>
        <v/>
      </c>
      <c r="E48" s="52"/>
      <c r="F48" s="52"/>
      <c r="G48" s="46"/>
      <c r="H48" s="53"/>
      <c r="I48" s="21" t="str" cm="1">
        <f t="array" ref="I48">IF(U48&lt;&gt;"",INDEX(_xlfn.TEXTSPLIT(#REF!,"_"),2),"")</f>
        <v/>
      </c>
      <c r="J48" s="21" t="str">
        <f t="shared" si="4"/>
        <v/>
      </c>
      <c r="K48" s="45" t="str">
        <f>IFERROR(VLOOKUP(J48,ユーザーリスト!$A:$B,2,0),"")</f>
        <v/>
      </c>
      <c r="L48" s="48"/>
      <c r="M48" s="49"/>
      <c r="N48" s="58"/>
      <c r="O48" s="64"/>
      <c r="P48" s="64"/>
      <c r="Q48" s="64"/>
      <c r="R48" s="64"/>
      <c r="S48" s="60"/>
      <c r="U48" s="8"/>
      <c r="V48" s="8"/>
      <c r="W48" s="8"/>
      <c r="X48" s="8" t="str">
        <f t="shared" si="5"/>
        <v/>
      </c>
      <c r="Y48" s="8" t="str">
        <f t="shared" si="6"/>
        <v/>
      </c>
      <c r="Z48" s="8" t="str">
        <f t="shared" si="1"/>
        <v/>
      </c>
      <c r="AA48" s="8"/>
      <c r="AB48" s="57"/>
      <c r="AC48" s="8"/>
      <c r="AD48" s="8" t="str">
        <f t="shared" si="2"/>
        <v/>
      </c>
      <c r="AE48" s="8"/>
    </row>
    <row r="49" spans="1:31" s="9" customFormat="1" ht="42.75" customHeight="1">
      <c r="A49" s="50" t="str">
        <f t="shared" si="0"/>
        <v/>
      </c>
      <c r="B49" s="51"/>
      <c r="C49" s="21" t="str">
        <f t="shared" si="3"/>
        <v/>
      </c>
      <c r="D49" s="46" t="str">
        <f>IFERROR(VLOOKUP(C49,ユーザーリスト!$A:$B,2,0),"")</f>
        <v/>
      </c>
      <c r="E49" s="52"/>
      <c r="F49" s="52"/>
      <c r="G49" s="46"/>
      <c r="H49" s="53"/>
      <c r="I49" s="21" t="str" cm="1">
        <f t="array" ref="I49">IF(U49&lt;&gt;"",INDEX(_xlfn.TEXTSPLIT(#REF!,"_"),2),"")</f>
        <v/>
      </c>
      <c r="J49" s="21" t="str">
        <f t="shared" si="4"/>
        <v/>
      </c>
      <c r="K49" s="45" t="str">
        <f>IFERROR(VLOOKUP(J49,ユーザーリスト!$A:$B,2,0),"")</f>
        <v/>
      </c>
      <c r="L49" s="48"/>
      <c r="M49" s="49"/>
      <c r="N49" s="58"/>
      <c r="O49" s="64"/>
      <c r="P49" s="64"/>
      <c r="Q49" s="64"/>
      <c r="R49" s="64"/>
      <c r="S49" s="60"/>
      <c r="U49" s="8"/>
      <c r="V49" s="8"/>
      <c r="W49" s="8"/>
      <c r="X49" s="8" t="str">
        <f t="shared" si="5"/>
        <v/>
      </c>
      <c r="Y49" s="8" t="str">
        <f t="shared" si="6"/>
        <v/>
      </c>
      <c r="Z49" s="8" t="str">
        <f t="shared" si="1"/>
        <v/>
      </c>
      <c r="AA49" s="8"/>
      <c r="AB49" s="57"/>
      <c r="AC49" s="8"/>
      <c r="AD49" s="8" t="str">
        <f t="shared" si="2"/>
        <v/>
      </c>
      <c r="AE49" s="8"/>
    </row>
    <row r="50" spans="1:31" s="9" customFormat="1" ht="42.75" customHeight="1">
      <c r="A50" s="50" t="str">
        <f t="shared" si="0"/>
        <v/>
      </c>
      <c r="B50" s="51"/>
      <c r="C50" s="21" t="str">
        <f t="shared" si="3"/>
        <v/>
      </c>
      <c r="D50" s="46" t="str">
        <f>IFERROR(VLOOKUP(C50,ユーザーリスト!$A:$B,2,0),"")</f>
        <v/>
      </c>
      <c r="E50" s="52"/>
      <c r="F50" s="52"/>
      <c r="G50" s="46"/>
      <c r="H50" s="53"/>
      <c r="I50" s="21" t="str" cm="1">
        <f t="array" ref="I50">IF(U50&lt;&gt;"",INDEX(_xlfn.TEXTSPLIT(#REF!,"_"),2),"")</f>
        <v/>
      </c>
      <c r="J50" s="21" t="str">
        <f t="shared" si="4"/>
        <v/>
      </c>
      <c r="K50" s="45" t="str">
        <f>IFERROR(VLOOKUP(J50,ユーザーリスト!$A:$B,2,0),"")</f>
        <v/>
      </c>
      <c r="L50" s="48"/>
      <c r="M50" s="49"/>
      <c r="N50" s="58"/>
      <c r="O50" s="64"/>
      <c r="P50" s="64"/>
      <c r="Q50" s="64"/>
      <c r="R50" s="64"/>
      <c r="S50" s="60"/>
      <c r="U50" s="8"/>
      <c r="V50" s="8"/>
      <c r="W50" s="8"/>
      <c r="X50" s="8" t="str">
        <f t="shared" si="5"/>
        <v/>
      </c>
      <c r="Y50" s="8" t="str">
        <f t="shared" si="6"/>
        <v/>
      </c>
      <c r="Z50" s="8" t="str">
        <f t="shared" si="1"/>
        <v/>
      </c>
      <c r="AA50" s="8"/>
      <c r="AB50" s="57"/>
      <c r="AC50" s="8"/>
      <c r="AD50" s="8" t="str">
        <f t="shared" si="2"/>
        <v/>
      </c>
      <c r="AE50" s="8"/>
    </row>
    <row r="51" spans="1:31" s="9" customFormat="1" ht="42.75" customHeight="1">
      <c r="A51" s="50" t="str">
        <f t="shared" si="0"/>
        <v/>
      </c>
      <c r="B51" s="51"/>
      <c r="C51" s="21" t="str">
        <f t="shared" si="3"/>
        <v/>
      </c>
      <c r="D51" s="46" t="str">
        <f>IFERROR(VLOOKUP(C51,ユーザーリスト!$A:$B,2,0),"")</f>
        <v/>
      </c>
      <c r="E51" s="52"/>
      <c r="F51" s="52"/>
      <c r="G51" s="46"/>
      <c r="H51" s="53"/>
      <c r="I51" s="21" t="str" cm="1">
        <f t="array" ref="I51">IF(U51&lt;&gt;"",INDEX(_xlfn.TEXTSPLIT(#REF!,"_"),2),"")</f>
        <v/>
      </c>
      <c r="J51" s="21" t="str">
        <f t="shared" si="4"/>
        <v/>
      </c>
      <c r="K51" s="45" t="str">
        <f>IFERROR(VLOOKUP(J51,ユーザーリスト!$A:$B,2,0),"")</f>
        <v/>
      </c>
      <c r="L51" s="48"/>
      <c r="M51" s="49"/>
      <c r="N51" s="58"/>
      <c r="O51" s="64"/>
      <c r="P51" s="64"/>
      <c r="Q51" s="64"/>
      <c r="R51" s="64"/>
      <c r="S51" s="60"/>
      <c r="U51" s="8"/>
      <c r="V51" s="8"/>
      <c r="W51" s="8"/>
      <c r="X51" s="8" t="str">
        <f t="shared" si="5"/>
        <v/>
      </c>
      <c r="Y51" s="8" t="str">
        <f t="shared" si="6"/>
        <v/>
      </c>
      <c r="Z51" s="8" t="str">
        <f t="shared" si="1"/>
        <v/>
      </c>
      <c r="AA51" s="8"/>
      <c r="AB51" s="57"/>
      <c r="AC51" s="8"/>
      <c r="AD51" s="8" t="str">
        <f t="shared" si="2"/>
        <v/>
      </c>
      <c r="AE51" s="8"/>
    </row>
    <row r="52" spans="1:31" s="9" customFormat="1" ht="42.75" customHeight="1">
      <c r="A52" s="50" t="str">
        <f t="shared" si="0"/>
        <v/>
      </c>
      <c r="B52" s="51"/>
      <c r="C52" s="21" t="str">
        <f t="shared" si="3"/>
        <v/>
      </c>
      <c r="D52" s="46" t="str">
        <f>IFERROR(VLOOKUP(C52,ユーザーリスト!$A:$B,2,0),"")</f>
        <v/>
      </c>
      <c r="E52" s="52"/>
      <c r="F52" s="52"/>
      <c r="G52" s="46"/>
      <c r="H52" s="53"/>
      <c r="I52" s="21" t="str" cm="1">
        <f t="array" ref="I52">IF(U52&lt;&gt;"",INDEX(_xlfn.TEXTSPLIT(#REF!,"_"),2),"")</f>
        <v/>
      </c>
      <c r="J52" s="21" t="str">
        <f t="shared" si="4"/>
        <v/>
      </c>
      <c r="K52" s="45" t="str">
        <f>IFERROR(VLOOKUP(J52,ユーザーリスト!$A:$B,2,0),"")</f>
        <v/>
      </c>
      <c r="L52" s="48"/>
      <c r="M52" s="49"/>
      <c r="N52" s="58"/>
      <c r="O52" s="64"/>
      <c r="P52" s="64"/>
      <c r="Q52" s="64"/>
      <c r="R52" s="64"/>
      <c r="S52" s="60"/>
      <c r="U52" s="8"/>
      <c r="V52" s="8"/>
      <c r="W52" s="8"/>
      <c r="X52" s="8" t="str">
        <f t="shared" si="5"/>
        <v/>
      </c>
      <c r="Y52" s="8" t="str">
        <f t="shared" si="6"/>
        <v/>
      </c>
      <c r="Z52" s="8" t="str">
        <f t="shared" si="1"/>
        <v/>
      </c>
      <c r="AA52" s="8"/>
      <c r="AB52" s="57"/>
      <c r="AC52" s="8"/>
      <c r="AD52" s="8" t="str">
        <f t="shared" si="2"/>
        <v/>
      </c>
      <c r="AE52" s="8"/>
    </row>
    <row r="53" spans="1:31" s="9" customFormat="1" ht="42.75" customHeight="1">
      <c r="A53" s="50" t="str">
        <f t="shared" si="0"/>
        <v/>
      </c>
      <c r="B53" s="51"/>
      <c r="C53" s="21" t="str">
        <f t="shared" si="3"/>
        <v/>
      </c>
      <c r="D53" s="46" t="str">
        <f>IFERROR(VLOOKUP(C53,ユーザーリスト!$A:$B,2,0),"")</f>
        <v/>
      </c>
      <c r="E53" s="52"/>
      <c r="F53" s="52"/>
      <c r="G53" s="46"/>
      <c r="H53" s="53"/>
      <c r="I53" s="21" t="str" cm="1">
        <f t="array" ref="I53">IF(U53&lt;&gt;"",INDEX(_xlfn.TEXTSPLIT(#REF!,"_"),2),"")</f>
        <v/>
      </c>
      <c r="J53" s="21" t="str">
        <f t="shared" si="4"/>
        <v/>
      </c>
      <c r="K53" s="45" t="str">
        <f>IFERROR(VLOOKUP(J53,ユーザーリスト!$A:$B,2,0),"")</f>
        <v/>
      </c>
      <c r="L53" s="48"/>
      <c r="M53" s="49"/>
      <c r="N53" s="58"/>
      <c r="O53" s="64"/>
      <c r="P53" s="64"/>
      <c r="Q53" s="64"/>
      <c r="R53" s="64"/>
      <c r="S53" s="60"/>
      <c r="U53" s="8"/>
      <c r="V53" s="8"/>
      <c r="W53" s="8"/>
      <c r="X53" s="8" t="str">
        <f t="shared" si="5"/>
        <v/>
      </c>
      <c r="Y53" s="8" t="str">
        <f t="shared" si="6"/>
        <v/>
      </c>
      <c r="Z53" s="8" t="str">
        <f t="shared" si="1"/>
        <v/>
      </c>
      <c r="AA53" s="8"/>
      <c r="AB53" s="57"/>
      <c r="AC53" s="8"/>
      <c r="AD53" s="8" t="str">
        <f t="shared" si="2"/>
        <v/>
      </c>
      <c r="AE53" s="8"/>
    </row>
    <row r="54" spans="1:31" s="9" customFormat="1" ht="42.75" customHeight="1">
      <c r="A54" s="50" t="str">
        <f t="shared" si="0"/>
        <v/>
      </c>
      <c r="B54" s="51"/>
      <c r="C54" s="21" t="str">
        <f t="shared" si="3"/>
        <v/>
      </c>
      <c r="D54" s="46" t="str">
        <f>IFERROR(VLOOKUP(C54,ユーザーリスト!$A:$B,2,0),"")</f>
        <v/>
      </c>
      <c r="E54" s="52"/>
      <c r="F54" s="52"/>
      <c r="G54" s="46"/>
      <c r="H54" s="53"/>
      <c r="I54" s="21" t="str" cm="1">
        <f t="array" ref="I54">IF(U54&lt;&gt;"",INDEX(_xlfn.TEXTSPLIT(#REF!,"_"),2),"")</f>
        <v/>
      </c>
      <c r="J54" s="21" t="str">
        <f t="shared" si="4"/>
        <v/>
      </c>
      <c r="K54" s="45" t="str">
        <f>IFERROR(VLOOKUP(J54,ユーザーリスト!$A:$B,2,0),"")</f>
        <v/>
      </c>
      <c r="L54" s="48"/>
      <c r="M54" s="49"/>
      <c r="N54" s="58"/>
      <c r="O54" s="64"/>
      <c r="P54" s="64"/>
      <c r="Q54" s="64"/>
      <c r="R54" s="64"/>
      <c r="S54" s="60"/>
      <c r="U54" s="8"/>
      <c r="V54" s="8"/>
      <c r="W54" s="8"/>
      <c r="X54" s="8" t="str">
        <f t="shared" si="5"/>
        <v/>
      </c>
      <c r="Y54" s="8" t="str">
        <f t="shared" si="6"/>
        <v/>
      </c>
      <c r="Z54" s="8" t="str">
        <f t="shared" si="1"/>
        <v/>
      </c>
      <c r="AA54" s="8"/>
      <c r="AB54" s="57"/>
      <c r="AC54" s="8"/>
      <c r="AD54" s="8" t="str">
        <f t="shared" si="2"/>
        <v/>
      </c>
      <c r="AE54" s="8"/>
    </row>
    <row r="55" spans="1:31" s="9" customFormat="1" ht="42.75" customHeight="1">
      <c r="A55" s="50" t="str">
        <f t="shared" si="0"/>
        <v/>
      </c>
      <c r="B55" s="51"/>
      <c r="C55" s="21" t="str">
        <f t="shared" si="3"/>
        <v/>
      </c>
      <c r="D55" s="46" t="str">
        <f>IFERROR(VLOOKUP(C55,ユーザーリスト!$A:$B,2,0),"")</f>
        <v/>
      </c>
      <c r="E55" s="52"/>
      <c r="F55" s="52"/>
      <c r="G55" s="46"/>
      <c r="H55" s="53"/>
      <c r="I55" s="21" t="str" cm="1">
        <f t="array" ref="I55">IF(U55&lt;&gt;"",INDEX(_xlfn.TEXTSPLIT(#REF!,"_"),2),"")</f>
        <v/>
      </c>
      <c r="J55" s="21" t="str">
        <f t="shared" si="4"/>
        <v/>
      </c>
      <c r="K55" s="45" t="str">
        <f>IFERROR(VLOOKUP(J55,ユーザーリスト!$A:$B,2,0),"")</f>
        <v/>
      </c>
      <c r="L55" s="48"/>
      <c r="M55" s="49"/>
      <c r="N55" s="58"/>
      <c r="O55" s="64"/>
      <c r="P55" s="64"/>
      <c r="Q55" s="64"/>
      <c r="R55" s="64"/>
      <c r="S55" s="60"/>
      <c r="U55" s="8"/>
      <c r="V55" s="8"/>
      <c r="W55" s="8"/>
      <c r="X55" s="8" t="str">
        <f t="shared" si="5"/>
        <v/>
      </c>
      <c r="Y55" s="8" t="str">
        <f t="shared" si="6"/>
        <v/>
      </c>
      <c r="Z55" s="8" t="str">
        <f t="shared" si="1"/>
        <v/>
      </c>
      <c r="AA55" s="8"/>
      <c r="AB55" s="57"/>
      <c r="AC55" s="8"/>
      <c r="AD55" s="8" t="str">
        <f t="shared" si="2"/>
        <v/>
      </c>
      <c r="AE55" s="8"/>
    </row>
    <row r="56" spans="1:31" s="9" customFormat="1" ht="42.75" customHeight="1">
      <c r="A56" s="50" t="str">
        <f t="shared" si="0"/>
        <v/>
      </c>
      <c r="B56" s="51"/>
      <c r="C56" s="21" t="str">
        <f t="shared" si="3"/>
        <v/>
      </c>
      <c r="D56" s="46" t="str">
        <f>IFERROR(VLOOKUP(C56,ユーザーリスト!$A:$B,2,0),"")</f>
        <v/>
      </c>
      <c r="E56" s="52"/>
      <c r="F56" s="52"/>
      <c r="G56" s="46"/>
      <c r="H56" s="53"/>
      <c r="I56" s="21" t="str" cm="1">
        <f t="array" ref="I56">IF(U56&lt;&gt;"",INDEX(_xlfn.TEXTSPLIT(#REF!,"_"),2),"")</f>
        <v/>
      </c>
      <c r="J56" s="21" t="str">
        <f t="shared" si="4"/>
        <v/>
      </c>
      <c r="K56" s="45" t="str">
        <f>IFERROR(VLOOKUP(J56,ユーザーリスト!$A:$B,2,0),"")</f>
        <v/>
      </c>
      <c r="L56" s="48"/>
      <c r="M56" s="49"/>
      <c r="N56" s="58"/>
      <c r="O56" s="64"/>
      <c r="P56" s="64"/>
      <c r="Q56" s="64"/>
      <c r="R56" s="64"/>
      <c r="S56" s="60"/>
      <c r="U56" s="8"/>
      <c r="V56" s="8"/>
      <c r="W56" s="8"/>
      <c r="X56" s="8" t="str">
        <f t="shared" si="5"/>
        <v/>
      </c>
      <c r="Y56" s="8" t="str">
        <f t="shared" si="6"/>
        <v/>
      </c>
      <c r="Z56" s="8" t="str">
        <f t="shared" si="1"/>
        <v/>
      </c>
      <c r="AA56" s="8"/>
      <c r="AB56" s="57"/>
      <c r="AC56" s="8"/>
      <c r="AD56" s="8" t="str">
        <f t="shared" si="2"/>
        <v/>
      </c>
      <c r="AE56" s="8"/>
    </row>
    <row r="57" spans="1:31" s="9" customFormat="1" ht="42.75" customHeight="1">
      <c r="A57" s="50" t="str">
        <f t="shared" si="0"/>
        <v/>
      </c>
      <c r="B57" s="51"/>
      <c r="C57" s="21" t="str">
        <f t="shared" si="3"/>
        <v/>
      </c>
      <c r="D57" s="46" t="str">
        <f>IFERROR(VLOOKUP(C57,ユーザーリスト!$A:$B,2,0),"")</f>
        <v/>
      </c>
      <c r="E57" s="52"/>
      <c r="F57" s="52"/>
      <c r="G57" s="46"/>
      <c r="H57" s="53"/>
      <c r="I57" s="21" t="str" cm="1">
        <f t="array" ref="I57">IF(U57&lt;&gt;"",INDEX(_xlfn.TEXTSPLIT(#REF!,"_"),2),"")</f>
        <v/>
      </c>
      <c r="J57" s="21" t="str">
        <f t="shared" si="4"/>
        <v/>
      </c>
      <c r="K57" s="45" t="str">
        <f>IFERROR(VLOOKUP(J57,ユーザーリスト!$A:$B,2,0),"")</f>
        <v/>
      </c>
      <c r="L57" s="48"/>
      <c r="M57" s="49"/>
      <c r="N57" s="58"/>
      <c r="O57" s="64"/>
      <c r="P57" s="64"/>
      <c r="Q57" s="64"/>
      <c r="R57" s="64"/>
      <c r="S57" s="60"/>
      <c r="U57" s="8"/>
      <c r="V57" s="8"/>
      <c r="W57" s="8"/>
      <c r="X57" s="8" t="str">
        <f t="shared" si="5"/>
        <v/>
      </c>
      <c r="Y57" s="8" t="str">
        <f t="shared" si="6"/>
        <v/>
      </c>
      <c r="Z57" s="8" t="str">
        <f t="shared" si="1"/>
        <v/>
      </c>
      <c r="AA57" s="8"/>
      <c r="AB57" s="57"/>
      <c r="AC57" s="8"/>
      <c r="AD57" s="8" t="str">
        <f t="shared" si="2"/>
        <v/>
      </c>
      <c r="AE57" s="8"/>
    </row>
    <row r="58" spans="1:31" s="9" customFormat="1" ht="42.75" customHeight="1">
      <c r="A58" s="50" t="str">
        <f t="shared" si="0"/>
        <v/>
      </c>
      <c r="B58" s="51"/>
      <c r="C58" s="21" t="str">
        <f t="shared" si="3"/>
        <v/>
      </c>
      <c r="D58" s="46" t="str">
        <f>IFERROR(VLOOKUP(C58,ユーザーリスト!$A:$B,2,0),"")</f>
        <v/>
      </c>
      <c r="E58" s="52"/>
      <c r="F58" s="52"/>
      <c r="G58" s="46"/>
      <c r="H58" s="53"/>
      <c r="I58" s="21" t="str" cm="1">
        <f t="array" ref="I58">IF(U58&lt;&gt;"",INDEX(_xlfn.TEXTSPLIT(#REF!,"_"),2),"")</f>
        <v/>
      </c>
      <c r="J58" s="21" t="str">
        <f t="shared" si="4"/>
        <v/>
      </c>
      <c r="K58" s="45" t="str">
        <f>IFERROR(VLOOKUP(J58,ユーザーリスト!$A:$B,2,0),"")</f>
        <v/>
      </c>
      <c r="L58" s="48"/>
      <c r="M58" s="49"/>
      <c r="N58" s="58"/>
      <c r="O58" s="64"/>
      <c r="P58" s="64"/>
      <c r="Q58" s="64"/>
      <c r="R58" s="64"/>
      <c r="S58" s="60"/>
      <c r="U58" s="8"/>
      <c r="V58" s="8"/>
      <c r="W58" s="8"/>
      <c r="X58" s="8" t="str">
        <f t="shared" si="5"/>
        <v/>
      </c>
      <c r="Y58" s="8" t="str">
        <f t="shared" si="6"/>
        <v/>
      </c>
      <c r="Z58" s="8" t="str">
        <f t="shared" si="1"/>
        <v/>
      </c>
      <c r="AA58" s="8"/>
      <c r="AB58" s="57"/>
      <c r="AC58" s="8"/>
      <c r="AD58" s="8" t="str">
        <f t="shared" si="2"/>
        <v/>
      </c>
      <c r="AE58" s="8"/>
    </row>
    <row r="59" spans="1:31" s="9" customFormat="1" ht="42.75" customHeight="1">
      <c r="A59" s="50" t="str">
        <f t="shared" si="0"/>
        <v/>
      </c>
      <c r="B59" s="51"/>
      <c r="C59" s="21" t="str">
        <f t="shared" si="3"/>
        <v/>
      </c>
      <c r="D59" s="46" t="str">
        <f>IFERROR(VLOOKUP(C59,ユーザーリスト!$A:$B,2,0),"")</f>
        <v/>
      </c>
      <c r="E59" s="52"/>
      <c r="F59" s="52"/>
      <c r="G59" s="46"/>
      <c r="H59" s="53"/>
      <c r="I59" s="21" t="str" cm="1">
        <f t="array" ref="I59">IF(U59&lt;&gt;"",INDEX(_xlfn.TEXTSPLIT(#REF!,"_"),2),"")</f>
        <v/>
      </c>
      <c r="J59" s="21" t="str">
        <f t="shared" si="4"/>
        <v/>
      </c>
      <c r="K59" s="45" t="str">
        <f>IFERROR(VLOOKUP(J59,ユーザーリスト!$A:$B,2,0),"")</f>
        <v/>
      </c>
      <c r="L59" s="48"/>
      <c r="M59" s="49"/>
      <c r="N59" s="58"/>
      <c r="O59" s="64"/>
      <c r="P59" s="64"/>
      <c r="Q59" s="64"/>
      <c r="R59" s="64"/>
      <c r="S59" s="60"/>
      <c r="U59" s="8"/>
      <c r="V59" s="8"/>
      <c r="W59" s="8"/>
      <c r="X59" s="8" t="str">
        <f t="shared" si="5"/>
        <v/>
      </c>
      <c r="Y59" s="8" t="str">
        <f t="shared" si="6"/>
        <v/>
      </c>
      <c r="Z59" s="8" t="str">
        <f t="shared" si="1"/>
        <v/>
      </c>
      <c r="AA59" s="8"/>
      <c r="AB59" s="57"/>
      <c r="AC59" s="8"/>
      <c r="AD59" s="8" t="str">
        <f t="shared" si="2"/>
        <v/>
      </c>
      <c r="AE59" s="8"/>
    </row>
    <row r="60" spans="1:31" s="9" customFormat="1" ht="42.75" customHeight="1">
      <c r="A60" s="50" t="str">
        <f t="shared" si="0"/>
        <v/>
      </c>
      <c r="B60" s="51"/>
      <c r="C60" s="21" t="str">
        <f t="shared" si="3"/>
        <v/>
      </c>
      <c r="D60" s="46" t="str">
        <f>IFERROR(VLOOKUP(C60,ユーザーリスト!$A:$B,2,0),"")</f>
        <v/>
      </c>
      <c r="E60" s="52"/>
      <c r="F60" s="52"/>
      <c r="G60" s="46"/>
      <c r="H60" s="53"/>
      <c r="I60" s="21" t="str" cm="1">
        <f t="array" ref="I60">IF(U60&lt;&gt;"",INDEX(_xlfn.TEXTSPLIT(#REF!,"_"),2),"")</f>
        <v/>
      </c>
      <c r="J60" s="21" t="str">
        <f t="shared" si="4"/>
        <v/>
      </c>
      <c r="K60" s="45" t="str">
        <f>IFERROR(VLOOKUP(J60,ユーザーリスト!$A:$B,2,0),"")</f>
        <v/>
      </c>
      <c r="L60" s="48"/>
      <c r="M60" s="49"/>
      <c r="N60" s="58"/>
      <c r="O60" s="64"/>
      <c r="P60" s="64"/>
      <c r="Q60" s="64"/>
      <c r="R60" s="64"/>
      <c r="S60" s="60"/>
      <c r="U60" s="8"/>
      <c r="V60" s="8"/>
      <c r="W60" s="8"/>
      <c r="X60" s="8" t="str">
        <f t="shared" si="5"/>
        <v/>
      </c>
      <c r="Y60" s="8" t="str">
        <f t="shared" si="6"/>
        <v/>
      </c>
      <c r="Z60" s="8" t="str">
        <f t="shared" si="1"/>
        <v/>
      </c>
      <c r="AA60" s="8"/>
      <c r="AB60" s="57"/>
      <c r="AC60" s="8"/>
      <c r="AD60" s="8" t="str">
        <f t="shared" si="2"/>
        <v/>
      </c>
      <c r="AE60" s="8"/>
    </row>
    <row r="61" spans="1:31" s="9" customFormat="1" ht="42.75" customHeight="1">
      <c r="A61" s="50" t="str">
        <f t="shared" si="0"/>
        <v/>
      </c>
      <c r="B61" s="51"/>
      <c r="C61" s="21" t="str">
        <f t="shared" si="3"/>
        <v/>
      </c>
      <c r="D61" s="46" t="str">
        <f>IFERROR(VLOOKUP(C61,ユーザーリスト!$A:$B,2,0),"")</f>
        <v/>
      </c>
      <c r="E61" s="52"/>
      <c r="F61" s="52"/>
      <c r="G61" s="46"/>
      <c r="H61" s="53"/>
      <c r="I61" s="21" t="str" cm="1">
        <f t="array" ref="I61">IF(U61&lt;&gt;"",INDEX(_xlfn.TEXTSPLIT(#REF!,"_"),2),"")</f>
        <v/>
      </c>
      <c r="J61" s="21" t="str">
        <f t="shared" si="4"/>
        <v/>
      </c>
      <c r="K61" s="45" t="str">
        <f>IFERROR(VLOOKUP(J61,ユーザーリスト!$A:$B,2,0),"")</f>
        <v/>
      </c>
      <c r="L61" s="48"/>
      <c r="M61" s="49"/>
      <c r="N61" s="58"/>
      <c r="O61" s="64"/>
      <c r="P61" s="64"/>
      <c r="Q61" s="64"/>
      <c r="R61" s="64"/>
      <c r="S61" s="60"/>
      <c r="U61" s="8"/>
      <c r="V61" s="8"/>
      <c r="W61" s="8"/>
      <c r="X61" s="8" t="str">
        <f t="shared" si="5"/>
        <v/>
      </c>
      <c r="Y61" s="8" t="str">
        <f t="shared" si="6"/>
        <v/>
      </c>
      <c r="Z61" s="8" t="str">
        <f t="shared" si="1"/>
        <v/>
      </c>
      <c r="AA61" s="8"/>
      <c r="AB61" s="57"/>
      <c r="AC61" s="8"/>
      <c r="AD61" s="8" t="str">
        <f t="shared" si="2"/>
        <v/>
      </c>
      <c r="AE61" s="8"/>
    </row>
    <row r="62" spans="1:31" s="9" customFormat="1" ht="42.75" customHeight="1">
      <c r="A62" s="50" t="str">
        <f t="shared" si="0"/>
        <v/>
      </c>
      <c r="B62" s="51"/>
      <c r="C62" s="21" t="str">
        <f t="shared" si="3"/>
        <v/>
      </c>
      <c r="D62" s="46" t="str">
        <f>IFERROR(VLOOKUP(C62,ユーザーリスト!$A:$B,2,0),"")</f>
        <v/>
      </c>
      <c r="E62" s="52"/>
      <c r="F62" s="52"/>
      <c r="G62" s="46"/>
      <c r="H62" s="53"/>
      <c r="I62" s="21" t="str" cm="1">
        <f t="array" ref="I62">IF(U62&lt;&gt;"",INDEX(_xlfn.TEXTSPLIT(#REF!,"_"),2),"")</f>
        <v/>
      </c>
      <c r="J62" s="21" t="str">
        <f t="shared" si="4"/>
        <v/>
      </c>
      <c r="K62" s="45" t="str">
        <f>IFERROR(VLOOKUP(J62,ユーザーリスト!$A:$B,2,0),"")</f>
        <v/>
      </c>
      <c r="L62" s="48"/>
      <c r="M62" s="49"/>
      <c r="N62" s="58"/>
      <c r="O62" s="64"/>
      <c r="P62" s="64"/>
      <c r="Q62" s="64"/>
      <c r="R62" s="64"/>
      <c r="S62" s="60"/>
      <c r="U62" s="8"/>
      <c r="V62" s="8"/>
      <c r="W62" s="8"/>
      <c r="X62" s="8" t="str">
        <f t="shared" si="5"/>
        <v/>
      </c>
      <c r="Y62" s="8" t="str">
        <f t="shared" si="6"/>
        <v/>
      </c>
      <c r="Z62" s="8" t="str">
        <f t="shared" si="1"/>
        <v/>
      </c>
      <c r="AA62" s="8"/>
      <c r="AB62" s="57"/>
      <c r="AC62" s="8"/>
      <c r="AD62" s="8" t="str">
        <f t="shared" si="2"/>
        <v/>
      </c>
      <c r="AE62" s="8"/>
    </row>
    <row r="63" spans="1:31" s="9" customFormat="1" ht="42.75" customHeight="1">
      <c r="A63" s="50" t="str">
        <f t="shared" si="0"/>
        <v/>
      </c>
      <c r="B63" s="51"/>
      <c r="C63" s="21" t="str">
        <f t="shared" si="3"/>
        <v/>
      </c>
      <c r="D63" s="46" t="str">
        <f>IFERROR(VLOOKUP(C63,ユーザーリスト!$A:$B,2,0),"")</f>
        <v/>
      </c>
      <c r="E63" s="52"/>
      <c r="F63" s="52"/>
      <c r="G63" s="46"/>
      <c r="H63" s="53"/>
      <c r="I63" s="21" t="str" cm="1">
        <f t="array" ref="I63">IF(U63&lt;&gt;"",INDEX(_xlfn.TEXTSPLIT(#REF!,"_"),2),"")</f>
        <v/>
      </c>
      <c r="J63" s="21" t="str">
        <f t="shared" si="4"/>
        <v/>
      </c>
      <c r="K63" s="45" t="str">
        <f>IFERROR(VLOOKUP(J63,ユーザーリスト!$A:$B,2,0),"")</f>
        <v/>
      </c>
      <c r="L63" s="48"/>
      <c r="M63" s="49"/>
      <c r="N63" s="58"/>
      <c r="O63" s="64"/>
      <c r="P63" s="64"/>
      <c r="Q63" s="64"/>
      <c r="R63" s="64"/>
      <c r="S63" s="60"/>
      <c r="U63" s="8"/>
      <c r="V63" s="8"/>
      <c r="W63" s="8"/>
      <c r="X63" s="8" t="str">
        <f t="shared" si="5"/>
        <v/>
      </c>
      <c r="Y63" s="8" t="str">
        <f t="shared" si="6"/>
        <v/>
      </c>
      <c r="Z63" s="8" t="str">
        <f t="shared" si="1"/>
        <v/>
      </c>
      <c r="AA63" s="8"/>
      <c r="AB63" s="57"/>
      <c r="AC63" s="8"/>
      <c r="AD63" s="8" t="str">
        <f t="shared" si="2"/>
        <v/>
      </c>
      <c r="AE63" s="8"/>
    </row>
    <row r="64" spans="1:31" s="9" customFormat="1" ht="42.75" customHeight="1">
      <c r="A64" s="50" t="str">
        <f t="shared" si="0"/>
        <v/>
      </c>
      <c r="B64" s="51"/>
      <c r="C64" s="21" t="str">
        <f t="shared" si="3"/>
        <v/>
      </c>
      <c r="D64" s="46" t="str">
        <f>IFERROR(VLOOKUP(C64,ユーザーリスト!$A:$B,2,0),"")</f>
        <v/>
      </c>
      <c r="E64" s="52"/>
      <c r="F64" s="52"/>
      <c r="G64" s="46"/>
      <c r="H64" s="53"/>
      <c r="I64" s="21" t="str" cm="1">
        <f t="array" ref="I64">IF(U64&lt;&gt;"",INDEX(_xlfn.TEXTSPLIT(#REF!,"_"),2),"")</f>
        <v/>
      </c>
      <c r="J64" s="21" t="str">
        <f t="shared" si="4"/>
        <v/>
      </c>
      <c r="K64" s="45" t="str">
        <f>IFERROR(VLOOKUP(J64,ユーザーリスト!$A:$B,2,0),"")</f>
        <v/>
      </c>
      <c r="L64" s="48"/>
      <c r="M64" s="49"/>
      <c r="N64" s="58"/>
      <c r="O64" s="64"/>
      <c r="P64" s="64"/>
      <c r="Q64" s="64"/>
      <c r="R64" s="64"/>
      <c r="S64" s="60"/>
      <c r="U64" s="8"/>
      <c r="V64" s="8"/>
      <c r="W64" s="8"/>
      <c r="X64" s="8" t="str">
        <f t="shared" si="5"/>
        <v/>
      </c>
      <c r="Y64" s="8" t="str">
        <f t="shared" si="6"/>
        <v/>
      </c>
      <c r="Z64" s="8" t="str">
        <f t="shared" si="1"/>
        <v/>
      </c>
      <c r="AA64" s="8"/>
      <c r="AB64" s="57"/>
      <c r="AC64" s="8"/>
      <c r="AD64" s="8" t="str">
        <f t="shared" si="2"/>
        <v/>
      </c>
      <c r="AE64" s="8"/>
    </row>
    <row r="65" spans="1:31" s="9" customFormat="1" ht="42.75" customHeight="1">
      <c r="A65" s="50" t="str">
        <f t="shared" si="0"/>
        <v/>
      </c>
      <c r="B65" s="51"/>
      <c r="C65" s="21" t="str">
        <f t="shared" si="3"/>
        <v/>
      </c>
      <c r="D65" s="46" t="str">
        <f>IFERROR(VLOOKUP(C65,ユーザーリスト!$A:$B,2,0),"")</f>
        <v/>
      </c>
      <c r="E65" s="52"/>
      <c r="F65" s="52"/>
      <c r="G65" s="46"/>
      <c r="H65" s="53"/>
      <c r="I65" s="21" t="str" cm="1">
        <f t="array" ref="I65">IF(U65&lt;&gt;"",INDEX(_xlfn.TEXTSPLIT(#REF!,"_"),2),"")</f>
        <v/>
      </c>
      <c r="J65" s="21" t="str">
        <f t="shared" si="4"/>
        <v/>
      </c>
      <c r="K65" s="45" t="str">
        <f>IFERROR(VLOOKUP(J65,ユーザーリスト!$A:$B,2,0),"")</f>
        <v/>
      </c>
      <c r="L65" s="48"/>
      <c r="M65" s="49"/>
      <c r="N65" s="58"/>
      <c r="O65" s="64"/>
      <c r="P65" s="64"/>
      <c r="Q65" s="64"/>
      <c r="R65" s="64"/>
      <c r="S65" s="60"/>
      <c r="U65" s="8"/>
      <c r="V65" s="8"/>
      <c r="W65" s="8"/>
      <c r="X65" s="8" t="str">
        <f t="shared" si="5"/>
        <v/>
      </c>
      <c r="Y65" s="8" t="str">
        <f t="shared" si="6"/>
        <v/>
      </c>
      <c r="Z65" s="8" t="str">
        <f t="shared" si="1"/>
        <v/>
      </c>
      <c r="AA65" s="8"/>
      <c r="AB65" s="57"/>
      <c r="AC65" s="8"/>
      <c r="AD65" s="8" t="str">
        <f t="shared" si="2"/>
        <v/>
      </c>
      <c r="AE65" s="8"/>
    </row>
    <row r="66" spans="1:31" s="9" customFormat="1" ht="42.75" customHeight="1">
      <c r="A66" s="50" t="str">
        <f t="shared" si="0"/>
        <v/>
      </c>
      <c r="B66" s="51"/>
      <c r="C66" s="21" t="str">
        <f t="shared" si="3"/>
        <v/>
      </c>
      <c r="D66" s="46" t="str">
        <f>IFERROR(VLOOKUP(C66,ユーザーリスト!$A:$B,2,0),"")</f>
        <v/>
      </c>
      <c r="E66" s="52"/>
      <c r="F66" s="52"/>
      <c r="G66" s="46"/>
      <c r="H66" s="53"/>
      <c r="I66" s="21" t="str" cm="1">
        <f t="array" ref="I66">IF(U66&lt;&gt;"",INDEX(_xlfn.TEXTSPLIT(#REF!,"_"),2),"")</f>
        <v/>
      </c>
      <c r="J66" s="21" t="str">
        <f t="shared" si="4"/>
        <v/>
      </c>
      <c r="K66" s="45" t="str">
        <f>IFERROR(VLOOKUP(J66,ユーザーリスト!$A:$B,2,0),"")</f>
        <v/>
      </c>
      <c r="L66" s="48"/>
      <c r="M66" s="49"/>
      <c r="N66" s="58"/>
      <c r="O66" s="64"/>
      <c r="P66" s="64"/>
      <c r="Q66" s="64"/>
      <c r="R66" s="64"/>
      <c r="S66" s="60"/>
      <c r="U66" s="8"/>
      <c r="V66" s="8"/>
      <c r="W66" s="8"/>
      <c r="X66" s="8" t="str">
        <f t="shared" si="5"/>
        <v/>
      </c>
      <c r="Y66" s="8" t="str">
        <f t="shared" si="6"/>
        <v/>
      </c>
      <c r="Z66" s="8" t="str">
        <f t="shared" si="1"/>
        <v/>
      </c>
      <c r="AA66" s="8"/>
      <c r="AB66" s="57"/>
      <c r="AC66" s="8"/>
      <c r="AD66" s="8" t="str">
        <f t="shared" si="2"/>
        <v/>
      </c>
      <c r="AE66" s="8"/>
    </row>
    <row r="67" spans="1:31" s="9" customFormat="1" ht="42.75" customHeight="1">
      <c r="A67" s="50" t="str">
        <f t="shared" si="0"/>
        <v/>
      </c>
      <c r="B67" s="51"/>
      <c r="C67" s="21" t="str">
        <f t="shared" si="3"/>
        <v/>
      </c>
      <c r="D67" s="46" t="str">
        <f>IFERROR(VLOOKUP(C67,ユーザーリスト!$A:$B,2,0),"")</f>
        <v/>
      </c>
      <c r="E67" s="52"/>
      <c r="F67" s="52"/>
      <c r="G67" s="46"/>
      <c r="H67" s="53"/>
      <c r="I67" s="21" t="str" cm="1">
        <f t="array" ref="I67">IF(U67&lt;&gt;"",INDEX(_xlfn.TEXTSPLIT(#REF!,"_"),2),"")</f>
        <v/>
      </c>
      <c r="J67" s="21" t="str">
        <f t="shared" si="4"/>
        <v/>
      </c>
      <c r="K67" s="45" t="str">
        <f>IFERROR(VLOOKUP(J67,ユーザーリスト!$A:$B,2,0),"")</f>
        <v/>
      </c>
      <c r="L67" s="48"/>
      <c r="M67" s="49"/>
      <c r="N67" s="58"/>
      <c r="O67" s="64"/>
      <c r="P67" s="64"/>
      <c r="Q67" s="64"/>
      <c r="R67" s="64"/>
      <c r="S67" s="60"/>
      <c r="U67" s="8"/>
      <c r="V67" s="8"/>
      <c r="W67" s="8"/>
      <c r="X67" s="8" t="str">
        <f t="shared" si="5"/>
        <v/>
      </c>
      <c r="Y67" s="8" t="str">
        <f t="shared" si="6"/>
        <v/>
      </c>
      <c r="Z67" s="8" t="str">
        <f t="shared" si="1"/>
        <v/>
      </c>
      <c r="AA67" s="8"/>
      <c r="AB67" s="57"/>
      <c r="AC67" s="8"/>
      <c r="AD67" s="8" t="str">
        <f t="shared" si="2"/>
        <v/>
      </c>
      <c r="AE67" s="8"/>
    </row>
    <row r="68" spans="1:31" s="9" customFormat="1" ht="42.75" customHeight="1">
      <c r="A68" s="50" t="str">
        <f t="shared" si="0"/>
        <v/>
      </c>
      <c r="B68" s="51"/>
      <c r="C68" s="21" t="str">
        <f t="shared" si="3"/>
        <v/>
      </c>
      <c r="D68" s="46" t="str">
        <f>IFERROR(VLOOKUP(C68,ユーザーリスト!$A:$B,2,0),"")</f>
        <v/>
      </c>
      <c r="E68" s="52"/>
      <c r="F68" s="52"/>
      <c r="G68" s="46"/>
      <c r="H68" s="53"/>
      <c r="I68" s="21" t="str" cm="1">
        <f t="array" ref="I68">IF(U68&lt;&gt;"",INDEX(_xlfn.TEXTSPLIT(#REF!,"_"),2),"")</f>
        <v/>
      </c>
      <c r="J68" s="21" t="str">
        <f t="shared" si="4"/>
        <v/>
      </c>
      <c r="K68" s="45" t="str">
        <f>IFERROR(VLOOKUP(J68,ユーザーリスト!$A:$B,2,0),"")</f>
        <v/>
      </c>
      <c r="L68" s="48"/>
      <c r="M68" s="49"/>
      <c r="N68" s="58"/>
      <c r="O68" s="64"/>
      <c r="P68" s="64"/>
      <c r="Q68" s="64"/>
      <c r="R68" s="64"/>
      <c r="S68" s="60"/>
      <c r="U68" s="8"/>
      <c r="V68" s="8"/>
      <c r="W68" s="8"/>
      <c r="X68" s="8" t="str">
        <f t="shared" si="5"/>
        <v/>
      </c>
      <c r="Y68" s="8" t="str">
        <f t="shared" si="6"/>
        <v/>
      </c>
      <c r="Z68" s="8" t="str">
        <f t="shared" si="1"/>
        <v/>
      </c>
      <c r="AA68" s="8"/>
      <c r="AB68" s="57"/>
      <c r="AC68" s="8"/>
      <c r="AD68" s="8" t="str">
        <f t="shared" si="2"/>
        <v/>
      </c>
      <c r="AE68" s="8"/>
    </row>
    <row r="69" spans="1:31" s="9" customFormat="1" ht="42.75" customHeight="1">
      <c r="A69" s="50" t="str">
        <f t="shared" si="0"/>
        <v/>
      </c>
      <c r="B69" s="51"/>
      <c r="C69" s="21" t="str">
        <f t="shared" si="3"/>
        <v/>
      </c>
      <c r="D69" s="46" t="str">
        <f>IFERROR(VLOOKUP(C69,ユーザーリスト!$A:$B,2,0),"")</f>
        <v/>
      </c>
      <c r="E69" s="52"/>
      <c r="F69" s="52"/>
      <c r="G69" s="46"/>
      <c r="H69" s="53"/>
      <c r="I69" s="21" t="str" cm="1">
        <f t="array" ref="I69">IF(U69&lt;&gt;"",INDEX(_xlfn.TEXTSPLIT(#REF!,"_"),2),"")</f>
        <v/>
      </c>
      <c r="J69" s="21" t="str">
        <f t="shared" si="4"/>
        <v/>
      </c>
      <c r="K69" s="45" t="str">
        <f>IFERROR(VLOOKUP(J69,ユーザーリスト!$A:$B,2,0),"")</f>
        <v/>
      </c>
      <c r="L69" s="48"/>
      <c r="M69" s="49"/>
      <c r="N69" s="58"/>
      <c r="O69" s="64"/>
      <c r="P69" s="64"/>
      <c r="Q69" s="64"/>
      <c r="R69" s="64"/>
      <c r="S69" s="60"/>
      <c r="U69" s="8"/>
      <c r="V69" s="8"/>
      <c r="W69" s="8"/>
      <c r="X69" s="8" t="str">
        <f t="shared" si="5"/>
        <v/>
      </c>
      <c r="Y69" s="8" t="str">
        <f t="shared" si="6"/>
        <v/>
      </c>
      <c r="Z69" s="8" t="str">
        <f t="shared" si="1"/>
        <v/>
      </c>
      <c r="AA69" s="8"/>
      <c r="AB69" s="57"/>
      <c r="AC69" s="8"/>
      <c r="AD69" s="8" t="str">
        <f t="shared" si="2"/>
        <v/>
      </c>
      <c r="AE69" s="8"/>
    </row>
    <row r="70" spans="1:31" s="9" customFormat="1" ht="42.75" customHeight="1">
      <c r="A70" s="50" t="str">
        <f t="shared" ref="A70:A133" si="7">IF(U70&lt;&gt;"",U70,"")</f>
        <v/>
      </c>
      <c r="B70" s="51"/>
      <c r="C70" s="21" t="str">
        <f t="shared" ref="C70:C100" si="8">IF(U70&lt;&gt;"","NAGAO,Hiroko","")</f>
        <v/>
      </c>
      <c r="D70" s="46" t="str">
        <f>IFERROR(VLOOKUP(C70,ユーザーリスト!$A:$B,2,0),"")</f>
        <v/>
      </c>
      <c r="E70" s="52"/>
      <c r="F70" s="52"/>
      <c r="G70" s="46"/>
      <c r="H70" s="53"/>
      <c r="I70" s="21" t="str" cm="1">
        <f t="array" ref="I70">IF(U70&lt;&gt;"",INDEX(_xlfn.TEXTSPLIT(#REF!,"_"),2),"")</f>
        <v/>
      </c>
      <c r="J70" s="21" t="str">
        <f t="shared" ref="J70:J100" si="9">IF(U70&lt;&gt;"","NAGAO,Hiroko","")</f>
        <v/>
      </c>
      <c r="K70" s="45" t="str">
        <f>IFERROR(VLOOKUP(J70,ユーザーリスト!$A:$B,2,0),"")</f>
        <v/>
      </c>
      <c r="L70" s="48"/>
      <c r="M70" s="49"/>
      <c r="N70" s="58"/>
      <c r="O70" s="64"/>
      <c r="P70" s="64"/>
      <c r="Q70" s="64"/>
      <c r="R70" s="64"/>
      <c r="S70" s="60"/>
      <c r="U70" s="8"/>
      <c r="V70" s="8"/>
      <c r="W70" s="8"/>
      <c r="X70" s="8" t="str">
        <f t="shared" ref="X70:X100" si="10">IF(T70&lt;&gt;"","蓄電池電解液","")</f>
        <v/>
      </c>
      <c r="Y70" s="8" t="str">
        <f t="shared" ref="Y70:Y100" si="11">IF(T70&lt;&gt;"","calculation","")</f>
        <v/>
      </c>
      <c r="Z70" s="8" t="str">
        <f t="shared" ref="Z70:Z100" si="12">IF(T70&lt;&gt;"","calculation","")</f>
        <v/>
      </c>
      <c r="AA70" s="8"/>
      <c r="AB70" s="57"/>
      <c r="AC70" s="8"/>
      <c r="AD70" s="8" t="str">
        <f t="shared" ref="AD70:AD100" si="13">IF(T70&lt;&gt;"","Linux","")</f>
        <v/>
      </c>
      <c r="AE70" s="8"/>
    </row>
    <row r="71" spans="1:31" s="9" customFormat="1" ht="42.75" customHeight="1">
      <c r="A71" s="50" t="str">
        <f t="shared" si="7"/>
        <v/>
      </c>
      <c r="B71" s="51"/>
      <c r="C71" s="21" t="str">
        <f t="shared" si="8"/>
        <v/>
      </c>
      <c r="D71" s="46" t="str">
        <f>IFERROR(VLOOKUP(C71,ユーザーリスト!$A:$B,2,0),"")</f>
        <v/>
      </c>
      <c r="E71" s="52"/>
      <c r="F71" s="52"/>
      <c r="G71" s="46"/>
      <c r="H71" s="53"/>
      <c r="I71" s="21" t="str" cm="1">
        <f t="array" ref="I71">IF(U71&lt;&gt;"",INDEX(_xlfn.TEXTSPLIT(#REF!,"_"),2),"")</f>
        <v/>
      </c>
      <c r="J71" s="21" t="str">
        <f t="shared" si="9"/>
        <v/>
      </c>
      <c r="K71" s="45" t="str">
        <f>IFERROR(VLOOKUP(J71,ユーザーリスト!$A:$B,2,0),"")</f>
        <v/>
      </c>
      <c r="L71" s="48"/>
      <c r="M71" s="49"/>
      <c r="N71" s="58"/>
      <c r="O71" s="64"/>
      <c r="P71" s="64"/>
      <c r="Q71" s="64"/>
      <c r="R71" s="64"/>
      <c r="S71" s="60"/>
      <c r="U71" s="8"/>
      <c r="V71" s="8"/>
      <c r="W71" s="8"/>
      <c r="X71" s="8" t="str">
        <f t="shared" si="10"/>
        <v/>
      </c>
      <c r="Y71" s="8" t="str">
        <f t="shared" si="11"/>
        <v/>
      </c>
      <c r="Z71" s="8" t="str">
        <f t="shared" si="12"/>
        <v/>
      </c>
      <c r="AA71" s="8"/>
      <c r="AB71" s="57"/>
      <c r="AC71" s="8"/>
      <c r="AD71" s="8" t="str">
        <f t="shared" si="13"/>
        <v/>
      </c>
      <c r="AE71" s="8"/>
    </row>
    <row r="72" spans="1:31" s="9" customFormat="1" ht="42.75" customHeight="1">
      <c r="A72" s="50" t="str">
        <f t="shared" si="7"/>
        <v/>
      </c>
      <c r="B72" s="51"/>
      <c r="C72" s="21" t="str">
        <f t="shared" si="8"/>
        <v/>
      </c>
      <c r="D72" s="46" t="str">
        <f>IFERROR(VLOOKUP(C72,ユーザーリスト!$A:$B,2,0),"")</f>
        <v/>
      </c>
      <c r="E72" s="52"/>
      <c r="F72" s="52"/>
      <c r="G72" s="46"/>
      <c r="H72" s="53"/>
      <c r="I72" s="21" t="str" cm="1">
        <f t="array" ref="I72">IF(U72&lt;&gt;"",INDEX(_xlfn.TEXTSPLIT(#REF!,"_"),2),"")</f>
        <v/>
      </c>
      <c r="J72" s="21" t="str">
        <f t="shared" si="9"/>
        <v/>
      </c>
      <c r="K72" s="45" t="str">
        <f>IFERROR(VLOOKUP(J72,ユーザーリスト!$A:$B,2,0),"")</f>
        <v/>
      </c>
      <c r="L72" s="48"/>
      <c r="M72" s="49"/>
      <c r="N72" s="58"/>
      <c r="O72" s="64"/>
      <c r="P72" s="64"/>
      <c r="Q72" s="64"/>
      <c r="R72" s="64"/>
      <c r="S72" s="60"/>
      <c r="U72" s="8"/>
      <c r="V72" s="8"/>
      <c r="W72" s="8"/>
      <c r="X72" s="8" t="str">
        <f t="shared" si="10"/>
        <v/>
      </c>
      <c r="Y72" s="8" t="str">
        <f t="shared" si="11"/>
        <v/>
      </c>
      <c r="Z72" s="8" t="str">
        <f t="shared" si="12"/>
        <v/>
      </c>
      <c r="AA72" s="8"/>
      <c r="AB72" s="57"/>
      <c r="AC72" s="8"/>
      <c r="AD72" s="8" t="str">
        <f t="shared" si="13"/>
        <v/>
      </c>
      <c r="AE72" s="8"/>
    </row>
    <row r="73" spans="1:31" s="9" customFormat="1" ht="42.75" customHeight="1">
      <c r="A73" s="50" t="str">
        <f t="shared" si="7"/>
        <v/>
      </c>
      <c r="B73" s="51"/>
      <c r="C73" s="21" t="str">
        <f t="shared" si="8"/>
        <v/>
      </c>
      <c r="D73" s="46" t="str">
        <f>IFERROR(VLOOKUP(C73,ユーザーリスト!$A:$B,2,0),"")</f>
        <v/>
      </c>
      <c r="E73" s="52"/>
      <c r="F73" s="52"/>
      <c r="G73" s="46"/>
      <c r="H73" s="53"/>
      <c r="I73" s="21" t="str" cm="1">
        <f t="array" ref="I73">IF(U73&lt;&gt;"",INDEX(_xlfn.TEXTSPLIT(#REF!,"_"),2),"")</f>
        <v/>
      </c>
      <c r="J73" s="21" t="str">
        <f t="shared" si="9"/>
        <v/>
      </c>
      <c r="K73" s="45" t="str">
        <f>IFERROR(VLOOKUP(J73,ユーザーリスト!$A:$B,2,0),"")</f>
        <v/>
      </c>
      <c r="L73" s="48"/>
      <c r="M73" s="49"/>
      <c r="N73" s="58"/>
      <c r="O73" s="64"/>
      <c r="P73" s="64"/>
      <c r="Q73" s="64"/>
      <c r="R73" s="64"/>
      <c r="S73" s="60"/>
      <c r="U73" s="8"/>
      <c r="V73" s="8"/>
      <c r="W73" s="8"/>
      <c r="X73" s="8" t="str">
        <f t="shared" si="10"/>
        <v/>
      </c>
      <c r="Y73" s="8" t="str">
        <f t="shared" si="11"/>
        <v/>
      </c>
      <c r="Z73" s="8" t="str">
        <f t="shared" si="12"/>
        <v/>
      </c>
      <c r="AA73" s="8"/>
      <c r="AB73" s="57"/>
      <c r="AC73" s="8"/>
      <c r="AD73" s="8" t="str">
        <f t="shared" si="13"/>
        <v/>
      </c>
      <c r="AE73" s="8"/>
    </row>
    <row r="74" spans="1:31" s="4" customFormat="1" ht="42.75" customHeight="1">
      <c r="A74" s="50" t="str">
        <f t="shared" si="7"/>
        <v/>
      </c>
      <c r="B74" s="51"/>
      <c r="C74" s="21" t="str">
        <f t="shared" si="8"/>
        <v/>
      </c>
      <c r="D74" s="46" t="str">
        <f>IFERROR(VLOOKUP(C74,ユーザーリスト!$A:$B,2,0),"")</f>
        <v/>
      </c>
      <c r="E74" s="52"/>
      <c r="F74" s="52"/>
      <c r="G74" s="46"/>
      <c r="H74" s="53"/>
      <c r="I74" s="21" t="str" cm="1">
        <f t="array" ref="I74">IF(U74&lt;&gt;"",INDEX(_xlfn.TEXTSPLIT(#REF!,"_"),2),"")</f>
        <v/>
      </c>
      <c r="J74" s="21" t="str">
        <f t="shared" si="9"/>
        <v/>
      </c>
      <c r="K74" s="45" t="str">
        <f>IFERROR(VLOOKUP(J74,ユーザーリスト!$A:$B,2,0),"")</f>
        <v/>
      </c>
      <c r="L74" s="48"/>
      <c r="M74" s="49"/>
      <c r="N74" s="58"/>
      <c r="O74" s="64"/>
      <c r="P74" s="64"/>
      <c r="Q74" s="64"/>
      <c r="R74" s="64"/>
      <c r="S74" s="61"/>
      <c r="T74" s="7"/>
      <c r="U74" s="8"/>
      <c r="V74" s="8"/>
      <c r="W74" s="8"/>
      <c r="X74" s="8" t="str">
        <f t="shared" si="10"/>
        <v/>
      </c>
      <c r="Y74" s="8" t="str">
        <f t="shared" si="11"/>
        <v/>
      </c>
      <c r="Z74" s="8" t="str">
        <f t="shared" si="12"/>
        <v/>
      </c>
      <c r="AA74" s="8"/>
      <c r="AB74" s="57"/>
      <c r="AC74" s="8"/>
      <c r="AD74" s="8" t="str">
        <f t="shared" si="13"/>
        <v/>
      </c>
      <c r="AE74" s="8"/>
    </row>
    <row r="75" spans="1:31" s="4" customFormat="1" ht="42.75" customHeight="1">
      <c r="A75" s="50" t="str">
        <f t="shared" si="7"/>
        <v/>
      </c>
      <c r="B75" s="51"/>
      <c r="C75" s="21" t="str">
        <f t="shared" si="8"/>
        <v/>
      </c>
      <c r="D75" s="46" t="str">
        <f>IFERROR(VLOOKUP(C75,ユーザーリスト!$A:$B,2,0),"")</f>
        <v/>
      </c>
      <c r="E75" s="52"/>
      <c r="F75" s="52"/>
      <c r="G75" s="46"/>
      <c r="H75" s="53"/>
      <c r="I75" s="21" t="str" cm="1">
        <f t="array" ref="I75">IF(U75&lt;&gt;"",INDEX(_xlfn.TEXTSPLIT(#REF!,"_"),2),"")</f>
        <v/>
      </c>
      <c r="J75" s="21" t="str">
        <f t="shared" si="9"/>
        <v/>
      </c>
      <c r="K75" s="45" t="str">
        <f>IFERROR(VLOOKUP(J75,ユーザーリスト!$A:$B,2,0),"")</f>
        <v/>
      </c>
      <c r="L75" s="48"/>
      <c r="M75" s="49"/>
      <c r="N75" s="58"/>
      <c r="O75" s="64"/>
      <c r="P75" s="64"/>
      <c r="Q75" s="64"/>
      <c r="R75" s="64"/>
      <c r="S75" s="61"/>
      <c r="T75" s="7"/>
      <c r="U75" s="8"/>
      <c r="V75" s="8"/>
      <c r="W75" s="8"/>
      <c r="X75" s="8" t="str">
        <f t="shared" si="10"/>
        <v/>
      </c>
      <c r="Y75" s="8" t="str">
        <f t="shared" si="11"/>
        <v/>
      </c>
      <c r="Z75" s="8" t="str">
        <f t="shared" si="12"/>
        <v/>
      </c>
      <c r="AA75" s="8"/>
      <c r="AB75" s="57"/>
      <c r="AC75" s="8"/>
      <c r="AD75" s="8" t="str">
        <f t="shared" si="13"/>
        <v/>
      </c>
      <c r="AE75" s="8"/>
    </row>
    <row r="76" spans="1:31" s="4" customFormat="1" ht="42.75" customHeight="1">
      <c r="A76" s="50" t="str">
        <f t="shared" si="7"/>
        <v/>
      </c>
      <c r="B76" s="51"/>
      <c r="C76" s="21" t="str">
        <f t="shared" si="8"/>
        <v/>
      </c>
      <c r="D76" s="46" t="str">
        <f>IFERROR(VLOOKUP(C76,ユーザーリスト!$A:$B,2,0),"")</f>
        <v/>
      </c>
      <c r="E76" s="52"/>
      <c r="F76" s="52"/>
      <c r="G76" s="46"/>
      <c r="H76" s="53"/>
      <c r="I76" s="21" t="str" cm="1">
        <f t="array" ref="I76">IF(U76&lt;&gt;"",INDEX(_xlfn.TEXTSPLIT(#REF!,"_"),2),"")</f>
        <v/>
      </c>
      <c r="J76" s="21" t="str">
        <f t="shared" si="9"/>
        <v/>
      </c>
      <c r="K76" s="45" t="str">
        <f>IFERROR(VLOOKUP(J76,ユーザーリスト!$A:$B,2,0),"")</f>
        <v/>
      </c>
      <c r="L76" s="48"/>
      <c r="M76" s="49"/>
      <c r="N76" s="58"/>
      <c r="O76" s="64"/>
      <c r="P76" s="64"/>
      <c r="Q76" s="64"/>
      <c r="R76" s="64"/>
      <c r="S76" s="61"/>
      <c r="T76" s="7"/>
      <c r="U76" s="8"/>
      <c r="V76" s="8"/>
      <c r="W76" s="8"/>
      <c r="X76" s="8" t="str">
        <f t="shared" si="10"/>
        <v/>
      </c>
      <c r="Y76" s="8" t="str">
        <f t="shared" si="11"/>
        <v/>
      </c>
      <c r="Z76" s="8" t="str">
        <f t="shared" si="12"/>
        <v/>
      </c>
      <c r="AA76" s="8"/>
      <c r="AB76" s="57"/>
      <c r="AC76" s="8"/>
      <c r="AD76" s="8" t="str">
        <f t="shared" si="13"/>
        <v/>
      </c>
      <c r="AE76" s="8"/>
    </row>
    <row r="77" spans="1:31" s="4" customFormat="1" ht="42.75" customHeight="1">
      <c r="A77" s="50" t="str">
        <f t="shared" si="7"/>
        <v/>
      </c>
      <c r="B77" s="51"/>
      <c r="C77" s="21" t="str">
        <f t="shared" si="8"/>
        <v/>
      </c>
      <c r="D77" s="46" t="str">
        <f>IFERROR(VLOOKUP(C77,ユーザーリスト!$A:$B,2,0),"")</f>
        <v/>
      </c>
      <c r="E77" s="52"/>
      <c r="F77" s="52"/>
      <c r="G77" s="46"/>
      <c r="H77" s="53"/>
      <c r="I77" s="21" t="str" cm="1">
        <f t="array" ref="I77">IF(U77&lt;&gt;"",INDEX(_xlfn.TEXTSPLIT(#REF!,"_"),2),"")</f>
        <v/>
      </c>
      <c r="J77" s="21" t="str">
        <f t="shared" si="9"/>
        <v/>
      </c>
      <c r="K77" s="45" t="str">
        <f>IFERROR(VLOOKUP(J77,ユーザーリスト!$A:$B,2,0),"")</f>
        <v/>
      </c>
      <c r="L77" s="48"/>
      <c r="M77" s="49"/>
      <c r="N77" s="58"/>
      <c r="O77" s="64"/>
      <c r="P77" s="64"/>
      <c r="Q77" s="64"/>
      <c r="R77" s="64"/>
      <c r="S77" s="61"/>
      <c r="T77" s="7"/>
      <c r="U77" s="8"/>
      <c r="V77" s="8"/>
      <c r="W77" s="8"/>
      <c r="X77" s="8" t="str">
        <f t="shared" si="10"/>
        <v/>
      </c>
      <c r="Y77" s="8" t="str">
        <f t="shared" si="11"/>
        <v/>
      </c>
      <c r="Z77" s="8" t="str">
        <f t="shared" si="12"/>
        <v/>
      </c>
      <c r="AA77" s="8"/>
      <c r="AB77" s="57"/>
      <c r="AC77" s="8"/>
      <c r="AD77" s="8" t="str">
        <f t="shared" si="13"/>
        <v/>
      </c>
      <c r="AE77" s="8"/>
    </row>
    <row r="78" spans="1:31" s="4" customFormat="1" ht="42.75" customHeight="1">
      <c r="A78" s="50" t="str">
        <f t="shared" si="7"/>
        <v/>
      </c>
      <c r="B78" s="51"/>
      <c r="C78" s="21" t="str">
        <f t="shared" si="8"/>
        <v/>
      </c>
      <c r="D78" s="46" t="str">
        <f>IFERROR(VLOOKUP(C78,ユーザーリスト!$A:$B,2,0),"")</f>
        <v/>
      </c>
      <c r="E78" s="52"/>
      <c r="F78" s="52"/>
      <c r="G78" s="46"/>
      <c r="H78" s="53"/>
      <c r="I78" s="21" t="str" cm="1">
        <f t="array" ref="I78">IF(U78&lt;&gt;"",INDEX(_xlfn.TEXTSPLIT(#REF!,"_"),2),"")</f>
        <v/>
      </c>
      <c r="J78" s="21" t="str">
        <f t="shared" si="9"/>
        <v/>
      </c>
      <c r="K78" s="45" t="str">
        <f>IFERROR(VLOOKUP(J78,ユーザーリスト!$A:$B,2,0),"")</f>
        <v/>
      </c>
      <c r="L78" s="48"/>
      <c r="M78" s="49"/>
      <c r="N78" s="58"/>
      <c r="O78" s="64"/>
      <c r="P78" s="64"/>
      <c r="Q78" s="64"/>
      <c r="R78" s="64"/>
      <c r="S78" s="61"/>
      <c r="T78" s="7"/>
      <c r="U78" s="8"/>
      <c r="V78" s="8"/>
      <c r="W78" s="8"/>
      <c r="X78" s="8" t="str">
        <f t="shared" si="10"/>
        <v/>
      </c>
      <c r="Y78" s="8" t="str">
        <f t="shared" si="11"/>
        <v/>
      </c>
      <c r="Z78" s="8" t="str">
        <f t="shared" si="12"/>
        <v/>
      </c>
      <c r="AA78" s="8"/>
      <c r="AB78" s="57"/>
      <c r="AC78" s="8"/>
      <c r="AD78" s="8" t="str">
        <f t="shared" si="13"/>
        <v/>
      </c>
      <c r="AE78" s="8"/>
    </row>
    <row r="79" spans="1:31" s="4" customFormat="1" ht="42.75" customHeight="1">
      <c r="A79" s="50" t="str">
        <f t="shared" si="7"/>
        <v/>
      </c>
      <c r="B79" s="51"/>
      <c r="C79" s="21" t="str">
        <f t="shared" si="8"/>
        <v/>
      </c>
      <c r="D79" s="46" t="str">
        <f>IFERROR(VLOOKUP(C79,ユーザーリスト!$A:$B,2,0),"")</f>
        <v/>
      </c>
      <c r="E79" s="52"/>
      <c r="F79" s="52"/>
      <c r="G79" s="46"/>
      <c r="H79" s="53"/>
      <c r="I79" s="21" t="str" cm="1">
        <f t="array" ref="I79">IF(U79&lt;&gt;"",INDEX(_xlfn.TEXTSPLIT(#REF!,"_"),2),"")</f>
        <v/>
      </c>
      <c r="J79" s="21" t="str">
        <f t="shared" si="9"/>
        <v/>
      </c>
      <c r="K79" s="45" t="str">
        <f>IFERROR(VLOOKUP(J79,ユーザーリスト!$A:$B,2,0),"")</f>
        <v/>
      </c>
      <c r="L79" s="48"/>
      <c r="M79" s="49"/>
      <c r="N79" s="58"/>
      <c r="O79" s="64"/>
      <c r="P79" s="64"/>
      <c r="Q79" s="64"/>
      <c r="R79" s="64"/>
      <c r="S79" s="61"/>
      <c r="T79" s="7"/>
      <c r="U79" s="8"/>
      <c r="V79" s="8"/>
      <c r="W79" s="8"/>
      <c r="X79" s="8" t="str">
        <f t="shared" si="10"/>
        <v/>
      </c>
      <c r="Y79" s="8" t="str">
        <f t="shared" si="11"/>
        <v/>
      </c>
      <c r="Z79" s="8" t="str">
        <f t="shared" si="12"/>
        <v/>
      </c>
      <c r="AA79" s="8"/>
      <c r="AB79" s="57"/>
      <c r="AC79" s="8"/>
      <c r="AD79" s="8" t="str">
        <f t="shared" si="13"/>
        <v/>
      </c>
      <c r="AE79" s="8"/>
    </row>
    <row r="80" spans="1:31" s="4" customFormat="1" ht="42.75" customHeight="1">
      <c r="A80" s="50" t="str">
        <f t="shared" si="7"/>
        <v/>
      </c>
      <c r="B80" s="51"/>
      <c r="C80" s="21" t="str">
        <f t="shared" si="8"/>
        <v/>
      </c>
      <c r="D80" s="46" t="str">
        <f>IFERROR(VLOOKUP(C80,ユーザーリスト!$A:$B,2,0),"")</f>
        <v/>
      </c>
      <c r="E80" s="52"/>
      <c r="F80" s="52"/>
      <c r="G80" s="46"/>
      <c r="H80" s="53"/>
      <c r="I80" s="21" t="str" cm="1">
        <f t="array" ref="I80">IF(U80&lt;&gt;"",INDEX(_xlfn.TEXTSPLIT(#REF!,"_"),2),"")</f>
        <v/>
      </c>
      <c r="J80" s="21" t="str">
        <f t="shared" si="9"/>
        <v/>
      </c>
      <c r="K80" s="45" t="str">
        <f>IFERROR(VLOOKUP(J80,ユーザーリスト!$A:$B,2,0),"")</f>
        <v/>
      </c>
      <c r="L80" s="48"/>
      <c r="M80" s="49"/>
      <c r="N80" s="58"/>
      <c r="O80" s="64"/>
      <c r="P80" s="64"/>
      <c r="Q80" s="64"/>
      <c r="R80" s="64"/>
      <c r="S80" s="61"/>
      <c r="T80" s="7"/>
      <c r="U80" s="8"/>
      <c r="V80" s="8"/>
      <c r="W80" s="8"/>
      <c r="X80" s="8" t="str">
        <f t="shared" si="10"/>
        <v/>
      </c>
      <c r="Y80" s="8" t="str">
        <f t="shared" si="11"/>
        <v/>
      </c>
      <c r="Z80" s="8" t="str">
        <f t="shared" si="12"/>
        <v/>
      </c>
      <c r="AA80" s="8"/>
      <c r="AB80" s="57"/>
      <c r="AC80" s="8"/>
      <c r="AD80" s="8" t="str">
        <f t="shared" si="13"/>
        <v/>
      </c>
      <c r="AE80" s="8"/>
    </row>
    <row r="81" spans="1:31" s="4" customFormat="1" ht="42.75" customHeight="1">
      <c r="A81" s="50" t="str">
        <f t="shared" si="7"/>
        <v/>
      </c>
      <c r="B81" s="51"/>
      <c r="C81" s="21" t="str">
        <f t="shared" si="8"/>
        <v/>
      </c>
      <c r="D81" s="46" t="str">
        <f>IFERROR(VLOOKUP(C81,ユーザーリスト!$A:$B,2,0),"")</f>
        <v/>
      </c>
      <c r="E81" s="52"/>
      <c r="F81" s="52"/>
      <c r="G81" s="46"/>
      <c r="H81" s="53"/>
      <c r="I81" s="21" t="str" cm="1">
        <f t="array" ref="I81">IF(U81&lt;&gt;"",INDEX(_xlfn.TEXTSPLIT(#REF!,"_"),2),"")</f>
        <v/>
      </c>
      <c r="J81" s="21" t="str">
        <f t="shared" si="9"/>
        <v/>
      </c>
      <c r="K81" s="45" t="str">
        <f>IFERROR(VLOOKUP(J81,ユーザーリスト!$A:$B,2,0),"")</f>
        <v/>
      </c>
      <c r="L81" s="48"/>
      <c r="M81" s="49"/>
      <c r="N81" s="58"/>
      <c r="O81" s="64"/>
      <c r="P81" s="64"/>
      <c r="Q81" s="64"/>
      <c r="R81" s="64"/>
      <c r="S81" s="61"/>
      <c r="T81" s="7"/>
      <c r="U81" s="8"/>
      <c r="V81" s="8"/>
      <c r="W81" s="8"/>
      <c r="X81" s="8" t="str">
        <f t="shared" si="10"/>
        <v/>
      </c>
      <c r="Y81" s="8" t="str">
        <f t="shared" si="11"/>
        <v/>
      </c>
      <c r="Z81" s="8" t="str">
        <f t="shared" si="12"/>
        <v/>
      </c>
      <c r="AA81" s="8"/>
      <c r="AB81" s="57"/>
      <c r="AC81" s="8"/>
      <c r="AD81" s="8" t="str">
        <f t="shared" si="13"/>
        <v/>
      </c>
      <c r="AE81" s="8"/>
    </row>
    <row r="82" spans="1:31" s="4" customFormat="1" ht="42.75" customHeight="1">
      <c r="A82" s="50" t="str">
        <f t="shared" si="7"/>
        <v/>
      </c>
      <c r="B82" s="51"/>
      <c r="C82" s="21" t="str">
        <f t="shared" si="8"/>
        <v/>
      </c>
      <c r="D82" s="46" t="str">
        <f>IFERROR(VLOOKUP(C82,ユーザーリスト!$A:$B,2,0),"")</f>
        <v/>
      </c>
      <c r="E82" s="52"/>
      <c r="F82" s="52"/>
      <c r="G82" s="46"/>
      <c r="H82" s="53"/>
      <c r="I82" s="21" t="str" cm="1">
        <f t="array" ref="I82">IF(U82&lt;&gt;"",INDEX(_xlfn.TEXTSPLIT(#REF!,"_"),2),"")</f>
        <v/>
      </c>
      <c r="J82" s="21" t="str">
        <f t="shared" si="9"/>
        <v/>
      </c>
      <c r="K82" s="45" t="str">
        <f>IFERROR(VLOOKUP(J82,ユーザーリスト!$A:$B,2,0),"")</f>
        <v/>
      </c>
      <c r="L82" s="48"/>
      <c r="M82" s="49"/>
      <c r="N82" s="58"/>
      <c r="O82" s="64"/>
      <c r="P82" s="64"/>
      <c r="Q82" s="64"/>
      <c r="R82" s="64"/>
      <c r="S82" s="61"/>
      <c r="T82" s="7"/>
      <c r="U82" s="8"/>
      <c r="V82" s="8"/>
      <c r="W82" s="8"/>
      <c r="X82" s="8" t="str">
        <f t="shared" si="10"/>
        <v/>
      </c>
      <c r="Y82" s="8" t="str">
        <f t="shared" si="11"/>
        <v/>
      </c>
      <c r="Z82" s="8" t="str">
        <f t="shared" si="12"/>
        <v/>
      </c>
      <c r="AA82" s="8"/>
      <c r="AB82" s="57"/>
      <c r="AC82" s="8"/>
      <c r="AD82" s="8" t="str">
        <f t="shared" si="13"/>
        <v/>
      </c>
      <c r="AE82" s="8"/>
    </row>
    <row r="83" spans="1:31" s="4" customFormat="1" ht="42.75" customHeight="1">
      <c r="A83" s="50" t="str">
        <f t="shared" si="7"/>
        <v/>
      </c>
      <c r="B83" s="51"/>
      <c r="C83" s="21" t="str">
        <f t="shared" si="8"/>
        <v/>
      </c>
      <c r="D83" s="46" t="str">
        <f>IFERROR(VLOOKUP(C83,ユーザーリスト!$A:$B,2,0),"")</f>
        <v/>
      </c>
      <c r="E83" s="52"/>
      <c r="F83" s="52"/>
      <c r="G83" s="46"/>
      <c r="H83" s="53"/>
      <c r="I83" s="21" t="str" cm="1">
        <f t="array" ref="I83">IF(U83&lt;&gt;"",INDEX(_xlfn.TEXTSPLIT(#REF!,"_"),2),"")</f>
        <v/>
      </c>
      <c r="J83" s="21" t="str">
        <f t="shared" si="9"/>
        <v/>
      </c>
      <c r="K83" s="45" t="str">
        <f>IFERROR(VLOOKUP(J83,ユーザーリスト!$A:$B,2,0),"")</f>
        <v/>
      </c>
      <c r="L83" s="48"/>
      <c r="M83" s="49"/>
      <c r="N83" s="58"/>
      <c r="O83" s="64"/>
      <c r="P83" s="64"/>
      <c r="Q83" s="64"/>
      <c r="R83" s="64"/>
      <c r="S83" s="61"/>
      <c r="T83" s="7"/>
      <c r="U83" s="8"/>
      <c r="V83" s="8"/>
      <c r="W83" s="8"/>
      <c r="X83" s="8" t="str">
        <f t="shared" si="10"/>
        <v/>
      </c>
      <c r="Y83" s="8" t="str">
        <f t="shared" si="11"/>
        <v/>
      </c>
      <c r="Z83" s="8" t="str">
        <f t="shared" si="12"/>
        <v/>
      </c>
      <c r="AA83" s="8"/>
      <c r="AB83" s="57"/>
      <c r="AC83" s="8"/>
      <c r="AD83" s="8" t="str">
        <f t="shared" si="13"/>
        <v/>
      </c>
      <c r="AE83" s="8"/>
    </row>
    <row r="84" spans="1:31" s="4" customFormat="1" ht="42.75" customHeight="1">
      <c r="A84" s="50" t="str">
        <f t="shared" si="7"/>
        <v/>
      </c>
      <c r="B84" s="51"/>
      <c r="C84" s="21" t="str">
        <f t="shared" si="8"/>
        <v/>
      </c>
      <c r="D84" s="46" t="str">
        <f>IFERROR(VLOOKUP(C84,ユーザーリスト!$A:$B,2,0),"")</f>
        <v/>
      </c>
      <c r="E84" s="52"/>
      <c r="F84" s="52"/>
      <c r="G84" s="46"/>
      <c r="H84" s="53"/>
      <c r="I84" s="21" t="str" cm="1">
        <f t="array" ref="I84">IF(U84&lt;&gt;"",INDEX(_xlfn.TEXTSPLIT(#REF!,"_"),2),"")</f>
        <v/>
      </c>
      <c r="J84" s="21" t="str">
        <f t="shared" si="9"/>
        <v/>
      </c>
      <c r="K84" s="45" t="str">
        <f>IFERROR(VLOOKUP(J84,ユーザーリスト!$A:$B,2,0),"")</f>
        <v/>
      </c>
      <c r="L84" s="48"/>
      <c r="M84" s="49"/>
      <c r="N84" s="58"/>
      <c r="O84" s="64"/>
      <c r="P84" s="64"/>
      <c r="Q84" s="64"/>
      <c r="R84" s="64"/>
      <c r="S84" s="61"/>
      <c r="T84" s="7"/>
      <c r="U84" s="8"/>
      <c r="V84" s="8"/>
      <c r="W84" s="8"/>
      <c r="X84" s="8" t="str">
        <f t="shared" si="10"/>
        <v/>
      </c>
      <c r="Y84" s="8" t="str">
        <f t="shared" si="11"/>
        <v/>
      </c>
      <c r="Z84" s="8" t="str">
        <f t="shared" si="12"/>
        <v/>
      </c>
      <c r="AA84" s="8"/>
      <c r="AB84" s="57"/>
      <c r="AC84" s="8"/>
      <c r="AD84" s="8" t="str">
        <f t="shared" si="13"/>
        <v/>
      </c>
      <c r="AE84" s="8"/>
    </row>
    <row r="85" spans="1:31" s="4" customFormat="1" ht="42.75" customHeight="1">
      <c r="A85" s="50" t="str">
        <f t="shared" si="7"/>
        <v/>
      </c>
      <c r="B85" s="51"/>
      <c r="C85" s="21" t="str">
        <f t="shared" si="8"/>
        <v/>
      </c>
      <c r="D85" s="46" t="str">
        <f>IFERROR(VLOOKUP(C85,ユーザーリスト!$A:$B,2,0),"")</f>
        <v/>
      </c>
      <c r="E85" s="52"/>
      <c r="F85" s="52"/>
      <c r="G85" s="46"/>
      <c r="H85" s="53"/>
      <c r="I85" s="21" t="str" cm="1">
        <f t="array" ref="I85">IF(U85&lt;&gt;"",INDEX(_xlfn.TEXTSPLIT(#REF!,"_"),2),"")</f>
        <v/>
      </c>
      <c r="J85" s="21" t="str">
        <f t="shared" si="9"/>
        <v/>
      </c>
      <c r="K85" s="45" t="str">
        <f>IFERROR(VLOOKUP(J85,ユーザーリスト!$A:$B,2,0),"")</f>
        <v/>
      </c>
      <c r="L85" s="48"/>
      <c r="M85" s="49"/>
      <c r="N85" s="58"/>
      <c r="O85" s="64"/>
      <c r="P85" s="64"/>
      <c r="Q85" s="64"/>
      <c r="R85" s="64"/>
      <c r="S85" s="61"/>
      <c r="T85" s="7"/>
      <c r="U85" s="8"/>
      <c r="V85" s="8"/>
      <c r="W85" s="8"/>
      <c r="X85" s="8" t="str">
        <f t="shared" si="10"/>
        <v/>
      </c>
      <c r="Y85" s="8" t="str">
        <f t="shared" si="11"/>
        <v/>
      </c>
      <c r="Z85" s="8" t="str">
        <f t="shared" si="12"/>
        <v/>
      </c>
      <c r="AA85" s="8"/>
      <c r="AB85" s="57"/>
      <c r="AC85" s="8"/>
      <c r="AD85" s="8" t="str">
        <f t="shared" si="13"/>
        <v/>
      </c>
      <c r="AE85" s="8"/>
    </row>
    <row r="86" spans="1:31" s="4" customFormat="1" ht="42.75" customHeight="1">
      <c r="A86" s="50" t="str">
        <f t="shared" si="7"/>
        <v/>
      </c>
      <c r="B86" s="51"/>
      <c r="C86" s="21" t="str">
        <f t="shared" si="8"/>
        <v/>
      </c>
      <c r="D86" s="46" t="str">
        <f>IFERROR(VLOOKUP(C86,ユーザーリスト!$A:$B,2,0),"")</f>
        <v/>
      </c>
      <c r="E86" s="52"/>
      <c r="F86" s="52"/>
      <c r="G86" s="46"/>
      <c r="H86" s="53"/>
      <c r="I86" s="21" t="str" cm="1">
        <f t="array" ref="I86">IF(U86&lt;&gt;"",INDEX(_xlfn.TEXTSPLIT(#REF!,"_"),2),"")</f>
        <v/>
      </c>
      <c r="J86" s="21" t="str">
        <f t="shared" si="9"/>
        <v/>
      </c>
      <c r="K86" s="45" t="str">
        <f>IFERROR(VLOOKUP(J86,ユーザーリスト!$A:$B,2,0),"")</f>
        <v/>
      </c>
      <c r="L86" s="48"/>
      <c r="M86" s="49"/>
      <c r="N86" s="58"/>
      <c r="O86" s="64"/>
      <c r="P86" s="64"/>
      <c r="Q86" s="64"/>
      <c r="R86" s="64"/>
      <c r="S86" s="61"/>
      <c r="T86" s="7"/>
      <c r="U86" s="8"/>
      <c r="V86" s="8"/>
      <c r="W86" s="8"/>
      <c r="X86" s="8" t="str">
        <f t="shared" si="10"/>
        <v/>
      </c>
      <c r="Y86" s="8" t="str">
        <f t="shared" si="11"/>
        <v/>
      </c>
      <c r="Z86" s="8" t="str">
        <f t="shared" si="12"/>
        <v/>
      </c>
      <c r="AA86" s="8"/>
      <c r="AB86" s="57"/>
      <c r="AC86" s="8"/>
      <c r="AD86" s="8" t="str">
        <f t="shared" si="13"/>
        <v/>
      </c>
      <c r="AE86" s="8"/>
    </row>
    <row r="87" spans="1:31" s="4" customFormat="1" ht="42.75" customHeight="1">
      <c r="A87" s="50" t="str">
        <f t="shared" si="7"/>
        <v/>
      </c>
      <c r="B87" s="51"/>
      <c r="C87" s="21" t="str">
        <f t="shared" si="8"/>
        <v/>
      </c>
      <c r="D87" s="46" t="str">
        <f>IFERROR(VLOOKUP(C87,ユーザーリスト!$A:$B,2,0),"")</f>
        <v/>
      </c>
      <c r="E87" s="52"/>
      <c r="F87" s="52"/>
      <c r="G87" s="46"/>
      <c r="H87" s="53"/>
      <c r="I87" s="21" t="str" cm="1">
        <f t="array" ref="I87">IF(U87&lt;&gt;"",INDEX(_xlfn.TEXTSPLIT(#REF!,"_"),2),"")</f>
        <v/>
      </c>
      <c r="J87" s="21" t="str">
        <f t="shared" si="9"/>
        <v/>
      </c>
      <c r="K87" s="45" t="str">
        <f>IFERROR(VLOOKUP(J87,ユーザーリスト!$A:$B,2,0),"")</f>
        <v/>
      </c>
      <c r="L87" s="48"/>
      <c r="M87" s="49"/>
      <c r="N87" s="58"/>
      <c r="O87" s="64"/>
      <c r="P87" s="64"/>
      <c r="Q87" s="64"/>
      <c r="R87" s="64"/>
      <c r="S87" s="61"/>
      <c r="T87" s="7"/>
      <c r="U87" s="8"/>
      <c r="V87" s="8"/>
      <c r="W87" s="8"/>
      <c r="X87" s="8" t="str">
        <f t="shared" si="10"/>
        <v/>
      </c>
      <c r="Y87" s="8" t="str">
        <f t="shared" si="11"/>
        <v/>
      </c>
      <c r="Z87" s="8" t="str">
        <f t="shared" si="12"/>
        <v/>
      </c>
      <c r="AA87" s="8"/>
      <c r="AB87" s="57"/>
      <c r="AC87" s="8"/>
      <c r="AD87" s="8" t="str">
        <f t="shared" si="13"/>
        <v/>
      </c>
      <c r="AE87" s="8"/>
    </row>
    <row r="88" spans="1:31" s="4" customFormat="1" ht="42.75" customHeight="1">
      <c r="A88" s="50" t="str">
        <f t="shared" si="7"/>
        <v/>
      </c>
      <c r="B88" s="51"/>
      <c r="C88" s="21" t="str">
        <f t="shared" si="8"/>
        <v/>
      </c>
      <c r="D88" s="46" t="str">
        <f>IFERROR(VLOOKUP(C88,ユーザーリスト!$A:$B,2,0),"")</f>
        <v/>
      </c>
      <c r="E88" s="52"/>
      <c r="F88" s="52"/>
      <c r="G88" s="46"/>
      <c r="H88" s="53"/>
      <c r="I88" s="21" t="str" cm="1">
        <f t="array" ref="I88">IF(U88&lt;&gt;"",INDEX(_xlfn.TEXTSPLIT(#REF!,"_"),2),"")</f>
        <v/>
      </c>
      <c r="J88" s="21" t="str">
        <f t="shared" si="9"/>
        <v/>
      </c>
      <c r="K88" s="45" t="str">
        <f>IFERROR(VLOOKUP(J88,ユーザーリスト!$A:$B,2,0),"")</f>
        <v/>
      </c>
      <c r="L88" s="48"/>
      <c r="M88" s="49"/>
      <c r="N88" s="58"/>
      <c r="O88" s="64"/>
      <c r="P88" s="64"/>
      <c r="Q88" s="64"/>
      <c r="R88" s="64"/>
      <c r="S88" s="61"/>
      <c r="T88" s="7"/>
      <c r="U88" s="8"/>
      <c r="V88" s="8"/>
      <c r="W88" s="8"/>
      <c r="X88" s="8" t="str">
        <f t="shared" si="10"/>
        <v/>
      </c>
      <c r="Y88" s="8" t="str">
        <f t="shared" si="11"/>
        <v/>
      </c>
      <c r="Z88" s="8" t="str">
        <f t="shared" si="12"/>
        <v/>
      </c>
      <c r="AA88" s="8"/>
      <c r="AB88" s="57"/>
      <c r="AC88" s="8"/>
      <c r="AD88" s="8" t="str">
        <f t="shared" si="13"/>
        <v/>
      </c>
      <c r="AE88" s="8"/>
    </row>
    <row r="89" spans="1:31" s="4" customFormat="1" ht="42.75" customHeight="1">
      <c r="A89" s="50" t="str">
        <f t="shared" si="7"/>
        <v/>
      </c>
      <c r="B89" s="51"/>
      <c r="C89" s="21" t="str">
        <f t="shared" si="8"/>
        <v/>
      </c>
      <c r="D89" s="46" t="str">
        <f>IFERROR(VLOOKUP(C89,ユーザーリスト!$A:$B,2,0),"")</f>
        <v/>
      </c>
      <c r="E89" s="52"/>
      <c r="F89" s="52"/>
      <c r="G89" s="46"/>
      <c r="H89" s="53"/>
      <c r="I89" s="21" t="str" cm="1">
        <f t="array" ref="I89">IF(U89&lt;&gt;"",INDEX(_xlfn.TEXTSPLIT(#REF!,"_"),2),"")</f>
        <v/>
      </c>
      <c r="J89" s="21" t="str">
        <f t="shared" si="9"/>
        <v/>
      </c>
      <c r="K89" s="45" t="str">
        <f>IFERROR(VLOOKUP(J89,ユーザーリスト!$A:$B,2,0),"")</f>
        <v/>
      </c>
      <c r="L89" s="48"/>
      <c r="M89" s="49"/>
      <c r="N89" s="58"/>
      <c r="O89" s="64"/>
      <c r="P89" s="64"/>
      <c r="Q89" s="64"/>
      <c r="R89" s="64"/>
      <c r="S89" s="61"/>
      <c r="T89" s="7"/>
      <c r="U89" s="8"/>
      <c r="V89" s="8"/>
      <c r="W89" s="8"/>
      <c r="X89" s="8" t="str">
        <f t="shared" si="10"/>
        <v/>
      </c>
      <c r="Y89" s="8" t="str">
        <f t="shared" si="11"/>
        <v/>
      </c>
      <c r="Z89" s="8" t="str">
        <f t="shared" si="12"/>
        <v/>
      </c>
      <c r="AA89" s="8"/>
      <c r="AB89" s="57"/>
      <c r="AC89" s="8"/>
      <c r="AD89" s="8" t="str">
        <f t="shared" si="13"/>
        <v/>
      </c>
      <c r="AE89" s="8"/>
    </row>
    <row r="90" spans="1:31" s="4" customFormat="1" ht="42.75" customHeight="1">
      <c r="A90" s="50" t="str">
        <f t="shared" si="7"/>
        <v/>
      </c>
      <c r="B90" s="51"/>
      <c r="C90" s="21" t="str">
        <f t="shared" si="8"/>
        <v/>
      </c>
      <c r="D90" s="46" t="str">
        <f>IFERROR(VLOOKUP(C90,ユーザーリスト!$A:$B,2,0),"")</f>
        <v/>
      </c>
      <c r="E90" s="52"/>
      <c r="F90" s="52"/>
      <c r="G90" s="46"/>
      <c r="H90" s="53"/>
      <c r="I90" s="21" t="str" cm="1">
        <f t="array" ref="I90">IF(U90&lt;&gt;"",INDEX(_xlfn.TEXTSPLIT(#REF!,"_"),2),"")</f>
        <v/>
      </c>
      <c r="J90" s="21" t="str">
        <f t="shared" si="9"/>
        <v/>
      </c>
      <c r="K90" s="45" t="str">
        <f>IFERROR(VLOOKUP(J90,ユーザーリスト!$A:$B,2,0),"")</f>
        <v/>
      </c>
      <c r="L90" s="48"/>
      <c r="M90" s="49"/>
      <c r="N90" s="58"/>
      <c r="O90" s="64"/>
      <c r="P90" s="64"/>
      <c r="Q90" s="64"/>
      <c r="R90" s="64"/>
      <c r="S90" s="61"/>
      <c r="T90" s="7"/>
      <c r="U90" s="8"/>
      <c r="V90" s="8"/>
      <c r="W90" s="8"/>
      <c r="X90" s="8" t="str">
        <f t="shared" si="10"/>
        <v/>
      </c>
      <c r="Y90" s="8" t="str">
        <f t="shared" si="11"/>
        <v/>
      </c>
      <c r="Z90" s="8" t="str">
        <f t="shared" si="12"/>
        <v/>
      </c>
      <c r="AA90" s="8"/>
      <c r="AB90" s="57"/>
      <c r="AC90" s="8"/>
      <c r="AD90" s="8" t="str">
        <f t="shared" si="13"/>
        <v/>
      </c>
      <c r="AE90" s="8"/>
    </row>
    <row r="91" spans="1:31" s="4" customFormat="1" ht="42.75" customHeight="1">
      <c r="A91" s="50" t="str">
        <f t="shared" si="7"/>
        <v/>
      </c>
      <c r="B91" s="51"/>
      <c r="C91" s="21" t="str">
        <f t="shared" si="8"/>
        <v/>
      </c>
      <c r="D91" s="46" t="str">
        <f>IFERROR(VLOOKUP(C91,ユーザーリスト!$A:$B,2,0),"")</f>
        <v/>
      </c>
      <c r="E91" s="52"/>
      <c r="F91" s="52"/>
      <c r="G91" s="46"/>
      <c r="H91" s="53"/>
      <c r="I91" s="21" t="str" cm="1">
        <f t="array" ref="I91">IF(U91&lt;&gt;"",INDEX(_xlfn.TEXTSPLIT(#REF!,"_"),2),"")</f>
        <v/>
      </c>
      <c r="J91" s="21" t="str">
        <f t="shared" si="9"/>
        <v/>
      </c>
      <c r="K91" s="45" t="str">
        <f>IFERROR(VLOOKUP(J91,ユーザーリスト!$A:$B,2,0),"")</f>
        <v/>
      </c>
      <c r="L91" s="48"/>
      <c r="M91" s="49"/>
      <c r="N91" s="58"/>
      <c r="O91" s="64"/>
      <c r="P91" s="64"/>
      <c r="Q91" s="64"/>
      <c r="R91" s="64"/>
      <c r="S91" s="61"/>
      <c r="T91" s="7"/>
      <c r="U91" s="8"/>
      <c r="V91" s="8"/>
      <c r="W91" s="8"/>
      <c r="X91" s="8" t="str">
        <f t="shared" si="10"/>
        <v/>
      </c>
      <c r="Y91" s="8" t="str">
        <f t="shared" si="11"/>
        <v/>
      </c>
      <c r="Z91" s="8" t="str">
        <f t="shared" si="12"/>
        <v/>
      </c>
      <c r="AA91" s="8"/>
      <c r="AB91" s="57"/>
      <c r="AC91" s="8"/>
      <c r="AD91" s="8" t="str">
        <f t="shared" si="13"/>
        <v/>
      </c>
      <c r="AE91" s="8"/>
    </row>
    <row r="92" spans="1:31" s="4" customFormat="1" ht="42.75" customHeight="1">
      <c r="A92" s="50" t="str">
        <f t="shared" si="7"/>
        <v/>
      </c>
      <c r="B92" s="51"/>
      <c r="C92" s="21" t="str">
        <f t="shared" si="8"/>
        <v/>
      </c>
      <c r="D92" s="46" t="str">
        <f>IFERROR(VLOOKUP(C92,ユーザーリスト!$A:$B,2,0),"")</f>
        <v/>
      </c>
      <c r="E92" s="52"/>
      <c r="F92" s="52"/>
      <c r="G92" s="46"/>
      <c r="H92" s="53"/>
      <c r="I92" s="21" t="str" cm="1">
        <f t="array" ref="I92">IF(U92&lt;&gt;"",INDEX(_xlfn.TEXTSPLIT(#REF!,"_"),2),"")</f>
        <v/>
      </c>
      <c r="J92" s="21" t="str">
        <f t="shared" si="9"/>
        <v/>
      </c>
      <c r="K92" s="45" t="str">
        <f>IFERROR(VLOOKUP(J92,ユーザーリスト!$A:$B,2,0),"")</f>
        <v/>
      </c>
      <c r="L92" s="48"/>
      <c r="M92" s="49"/>
      <c r="N92" s="58"/>
      <c r="O92" s="64"/>
      <c r="P92" s="64"/>
      <c r="Q92" s="64"/>
      <c r="R92" s="64"/>
      <c r="S92" s="61"/>
      <c r="T92" s="7"/>
      <c r="U92" s="8"/>
      <c r="V92" s="8"/>
      <c r="W92" s="8"/>
      <c r="X92" s="8" t="str">
        <f t="shared" si="10"/>
        <v/>
      </c>
      <c r="Y92" s="8" t="str">
        <f t="shared" si="11"/>
        <v/>
      </c>
      <c r="Z92" s="8" t="str">
        <f t="shared" si="12"/>
        <v/>
      </c>
      <c r="AA92" s="8"/>
      <c r="AB92" s="57"/>
      <c r="AC92" s="8"/>
      <c r="AD92" s="8" t="str">
        <f t="shared" si="13"/>
        <v/>
      </c>
      <c r="AE92" s="8"/>
    </row>
    <row r="93" spans="1:31" s="4" customFormat="1" ht="42.75" customHeight="1">
      <c r="A93" s="50" t="str">
        <f t="shared" si="7"/>
        <v/>
      </c>
      <c r="B93" s="51"/>
      <c r="C93" s="21" t="str">
        <f t="shared" si="8"/>
        <v/>
      </c>
      <c r="D93" s="46" t="str">
        <f>IFERROR(VLOOKUP(C93,ユーザーリスト!$A:$B,2,0),"")</f>
        <v/>
      </c>
      <c r="E93" s="52"/>
      <c r="F93" s="52"/>
      <c r="G93" s="46"/>
      <c r="H93" s="53"/>
      <c r="I93" s="21" t="str" cm="1">
        <f t="array" ref="I93">IF(U93&lt;&gt;"",INDEX(_xlfn.TEXTSPLIT(#REF!,"_"),2),"")</f>
        <v/>
      </c>
      <c r="J93" s="21" t="str">
        <f t="shared" si="9"/>
        <v/>
      </c>
      <c r="K93" s="45" t="str">
        <f>IFERROR(VLOOKUP(J93,ユーザーリスト!$A:$B,2,0),"")</f>
        <v/>
      </c>
      <c r="L93" s="48"/>
      <c r="M93" s="49"/>
      <c r="N93" s="58"/>
      <c r="O93" s="64"/>
      <c r="P93" s="64"/>
      <c r="Q93" s="64"/>
      <c r="R93" s="64"/>
      <c r="S93" s="61"/>
      <c r="T93" s="7"/>
      <c r="U93" s="8"/>
      <c r="V93" s="8"/>
      <c r="W93" s="8"/>
      <c r="X93" s="8" t="str">
        <f t="shared" si="10"/>
        <v/>
      </c>
      <c r="Y93" s="8" t="str">
        <f t="shared" si="11"/>
        <v/>
      </c>
      <c r="Z93" s="8" t="str">
        <f t="shared" si="12"/>
        <v/>
      </c>
      <c r="AA93" s="8"/>
      <c r="AB93" s="57"/>
      <c r="AC93" s="8"/>
      <c r="AD93" s="8" t="str">
        <f t="shared" si="13"/>
        <v/>
      </c>
      <c r="AE93" s="8"/>
    </row>
    <row r="94" spans="1:31" s="4" customFormat="1" ht="42.75" customHeight="1">
      <c r="A94" s="50" t="str">
        <f t="shared" si="7"/>
        <v/>
      </c>
      <c r="B94" s="51"/>
      <c r="C94" s="21" t="str">
        <f t="shared" si="8"/>
        <v/>
      </c>
      <c r="D94" s="46" t="str">
        <f>IFERROR(VLOOKUP(C94,ユーザーリスト!$A:$B,2,0),"")</f>
        <v/>
      </c>
      <c r="E94" s="52"/>
      <c r="F94" s="52"/>
      <c r="G94" s="46"/>
      <c r="H94" s="53"/>
      <c r="I94" s="21" t="str" cm="1">
        <f t="array" ref="I94">IF(U94&lt;&gt;"",INDEX(_xlfn.TEXTSPLIT(#REF!,"_"),2),"")</f>
        <v/>
      </c>
      <c r="J94" s="21" t="str">
        <f t="shared" si="9"/>
        <v/>
      </c>
      <c r="K94" s="45" t="str">
        <f>IFERROR(VLOOKUP(J94,ユーザーリスト!$A:$B,2,0),"")</f>
        <v/>
      </c>
      <c r="L94" s="48"/>
      <c r="M94" s="49"/>
      <c r="N94" s="58"/>
      <c r="O94" s="64"/>
      <c r="P94" s="64"/>
      <c r="Q94" s="64"/>
      <c r="R94" s="64"/>
      <c r="S94" s="61"/>
      <c r="T94" s="7"/>
      <c r="U94" s="8"/>
      <c r="V94" s="8"/>
      <c r="W94" s="8"/>
      <c r="X94" s="8" t="str">
        <f t="shared" si="10"/>
        <v/>
      </c>
      <c r="Y94" s="8" t="str">
        <f t="shared" si="11"/>
        <v/>
      </c>
      <c r="Z94" s="8" t="str">
        <f t="shared" si="12"/>
        <v/>
      </c>
      <c r="AA94" s="8"/>
      <c r="AB94" s="57"/>
      <c r="AC94" s="8"/>
      <c r="AD94" s="8" t="str">
        <f t="shared" si="13"/>
        <v/>
      </c>
      <c r="AE94" s="8"/>
    </row>
    <row r="95" spans="1:31" s="4" customFormat="1" ht="42.75" customHeight="1">
      <c r="A95" s="50" t="str">
        <f t="shared" si="7"/>
        <v/>
      </c>
      <c r="B95" s="51"/>
      <c r="C95" s="21" t="str">
        <f t="shared" si="8"/>
        <v/>
      </c>
      <c r="D95" s="46" t="str">
        <f>IFERROR(VLOOKUP(C95,ユーザーリスト!$A:$B,2,0),"")</f>
        <v/>
      </c>
      <c r="E95" s="52"/>
      <c r="F95" s="52"/>
      <c r="G95" s="46"/>
      <c r="H95" s="53"/>
      <c r="I95" s="21" t="str" cm="1">
        <f t="array" ref="I95">IF(U95&lt;&gt;"",INDEX(_xlfn.TEXTSPLIT(#REF!,"_"),2),"")</f>
        <v/>
      </c>
      <c r="J95" s="21" t="str">
        <f t="shared" si="9"/>
        <v/>
      </c>
      <c r="K95" s="45" t="str">
        <f>IFERROR(VLOOKUP(J95,ユーザーリスト!$A:$B,2,0),"")</f>
        <v/>
      </c>
      <c r="L95" s="48"/>
      <c r="M95" s="49"/>
      <c r="N95" s="58"/>
      <c r="O95" s="64"/>
      <c r="P95" s="64"/>
      <c r="Q95" s="64"/>
      <c r="R95" s="64"/>
      <c r="S95" s="61"/>
      <c r="T95" s="7"/>
      <c r="U95" s="8"/>
      <c r="V95" s="8"/>
      <c r="W95" s="8"/>
      <c r="X95" s="8" t="str">
        <f t="shared" si="10"/>
        <v/>
      </c>
      <c r="Y95" s="8" t="str">
        <f t="shared" si="11"/>
        <v/>
      </c>
      <c r="Z95" s="8" t="str">
        <f t="shared" si="12"/>
        <v/>
      </c>
      <c r="AA95" s="8"/>
      <c r="AB95" s="57"/>
      <c r="AC95" s="8"/>
      <c r="AD95" s="8" t="str">
        <f t="shared" si="13"/>
        <v/>
      </c>
      <c r="AE95" s="8"/>
    </row>
    <row r="96" spans="1:31" s="4" customFormat="1" ht="42.75" customHeight="1">
      <c r="A96" s="50" t="str">
        <f t="shared" si="7"/>
        <v/>
      </c>
      <c r="B96" s="51"/>
      <c r="C96" s="21" t="str">
        <f t="shared" si="8"/>
        <v/>
      </c>
      <c r="D96" s="46" t="str">
        <f>IFERROR(VLOOKUP(C96,ユーザーリスト!$A:$B,2,0),"")</f>
        <v/>
      </c>
      <c r="E96" s="52"/>
      <c r="F96" s="52"/>
      <c r="G96" s="46"/>
      <c r="H96" s="53"/>
      <c r="I96" s="21" t="str" cm="1">
        <f t="array" ref="I96">IF(U96&lt;&gt;"",INDEX(_xlfn.TEXTSPLIT(#REF!,"_"),2),"")</f>
        <v/>
      </c>
      <c r="J96" s="21" t="str">
        <f t="shared" si="9"/>
        <v/>
      </c>
      <c r="K96" s="45" t="str">
        <f>IFERROR(VLOOKUP(J96,ユーザーリスト!$A:$B,2,0),"")</f>
        <v/>
      </c>
      <c r="L96" s="48"/>
      <c r="M96" s="49"/>
      <c r="N96" s="58"/>
      <c r="O96" s="64"/>
      <c r="P96" s="64"/>
      <c r="Q96" s="64"/>
      <c r="R96" s="64"/>
      <c r="S96" s="61"/>
      <c r="T96" s="7"/>
      <c r="U96" s="8"/>
      <c r="V96" s="8"/>
      <c r="W96" s="8"/>
      <c r="X96" s="8" t="str">
        <f t="shared" si="10"/>
        <v/>
      </c>
      <c r="Y96" s="8" t="str">
        <f t="shared" si="11"/>
        <v/>
      </c>
      <c r="Z96" s="8" t="str">
        <f t="shared" si="12"/>
        <v/>
      </c>
      <c r="AA96" s="8"/>
      <c r="AB96" s="57"/>
      <c r="AC96" s="8"/>
      <c r="AD96" s="8" t="str">
        <f t="shared" si="13"/>
        <v/>
      </c>
      <c r="AE96" s="8"/>
    </row>
    <row r="97" spans="1:31" s="4" customFormat="1" ht="42.75" customHeight="1">
      <c r="A97" s="50" t="str">
        <f t="shared" si="7"/>
        <v/>
      </c>
      <c r="B97" s="51"/>
      <c r="C97" s="21" t="str">
        <f t="shared" si="8"/>
        <v/>
      </c>
      <c r="D97" s="46" t="str">
        <f>IFERROR(VLOOKUP(C97,ユーザーリスト!$A:$B,2,0),"")</f>
        <v/>
      </c>
      <c r="E97" s="52"/>
      <c r="F97" s="52"/>
      <c r="G97" s="46"/>
      <c r="H97" s="53"/>
      <c r="I97" s="21" t="str" cm="1">
        <f t="array" ref="I97">IF(U97&lt;&gt;"",INDEX(_xlfn.TEXTSPLIT(#REF!,"_"),2),"")</f>
        <v/>
      </c>
      <c r="J97" s="21" t="str">
        <f t="shared" si="9"/>
        <v/>
      </c>
      <c r="K97" s="45" t="str">
        <f>IFERROR(VLOOKUP(J97,ユーザーリスト!$A:$B,2,0),"")</f>
        <v/>
      </c>
      <c r="L97" s="48"/>
      <c r="M97" s="49"/>
      <c r="N97" s="58"/>
      <c r="O97" s="64"/>
      <c r="P97" s="64"/>
      <c r="Q97" s="64"/>
      <c r="R97" s="64"/>
      <c r="S97" s="61"/>
      <c r="T97" s="7"/>
      <c r="U97" s="8"/>
      <c r="V97" s="8"/>
      <c r="W97" s="8"/>
      <c r="X97" s="8" t="str">
        <f t="shared" si="10"/>
        <v/>
      </c>
      <c r="Y97" s="8" t="str">
        <f t="shared" si="11"/>
        <v/>
      </c>
      <c r="Z97" s="8" t="str">
        <f t="shared" si="12"/>
        <v/>
      </c>
      <c r="AA97" s="8"/>
      <c r="AB97" s="57"/>
      <c r="AC97" s="8"/>
      <c r="AD97" s="8" t="str">
        <f t="shared" si="13"/>
        <v/>
      </c>
      <c r="AE97" s="8"/>
    </row>
    <row r="98" spans="1:31" s="4" customFormat="1" ht="42.75" customHeight="1">
      <c r="A98" s="50" t="str">
        <f t="shared" si="7"/>
        <v/>
      </c>
      <c r="B98" s="51"/>
      <c r="C98" s="21" t="str">
        <f t="shared" si="8"/>
        <v/>
      </c>
      <c r="D98" s="46" t="str">
        <f>IFERROR(VLOOKUP(C98,ユーザーリスト!$A:$B,2,0),"")</f>
        <v/>
      </c>
      <c r="E98" s="52"/>
      <c r="F98" s="52"/>
      <c r="G98" s="46"/>
      <c r="H98" s="53"/>
      <c r="I98" s="21" t="str" cm="1">
        <f t="array" ref="I98">IF(U98&lt;&gt;"",INDEX(_xlfn.TEXTSPLIT(#REF!,"_"),2),"")</f>
        <v/>
      </c>
      <c r="J98" s="21" t="str">
        <f t="shared" si="9"/>
        <v/>
      </c>
      <c r="K98" s="45" t="str">
        <f>IFERROR(VLOOKUP(J98,ユーザーリスト!$A:$B,2,0),"")</f>
        <v/>
      </c>
      <c r="L98" s="48"/>
      <c r="M98" s="49"/>
      <c r="N98" s="58"/>
      <c r="O98" s="64"/>
      <c r="P98" s="64"/>
      <c r="Q98" s="64"/>
      <c r="R98" s="64"/>
      <c r="S98" s="61"/>
      <c r="T98" s="7"/>
      <c r="U98" s="8"/>
      <c r="V98" s="8"/>
      <c r="W98" s="8"/>
      <c r="X98" s="8" t="str">
        <f t="shared" si="10"/>
        <v/>
      </c>
      <c r="Y98" s="8" t="str">
        <f t="shared" si="11"/>
        <v/>
      </c>
      <c r="Z98" s="8" t="str">
        <f t="shared" si="12"/>
        <v/>
      </c>
      <c r="AA98" s="8"/>
      <c r="AB98" s="57"/>
      <c r="AC98" s="8"/>
      <c r="AD98" s="8" t="str">
        <f t="shared" si="13"/>
        <v/>
      </c>
      <c r="AE98" s="8"/>
    </row>
    <row r="99" spans="1:31" s="4" customFormat="1" ht="42.75" customHeight="1">
      <c r="A99" s="50" t="str">
        <f t="shared" si="7"/>
        <v/>
      </c>
      <c r="B99" s="51"/>
      <c r="C99" s="21" t="str">
        <f t="shared" si="8"/>
        <v/>
      </c>
      <c r="D99" s="46" t="str">
        <f>IFERROR(VLOOKUP(C99,ユーザーリスト!$A:$B,2,0),"")</f>
        <v/>
      </c>
      <c r="E99" s="52"/>
      <c r="F99" s="52"/>
      <c r="G99" s="46"/>
      <c r="H99" s="53"/>
      <c r="I99" s="21" t="str" cm="1">
        <f t="array" ref="I99">IF(U99&lt;&gt;"",INDEX(_xlfn.TEXTSPLIT(#REF!,"_"),2),"")</f>
        <v/>
      </c>
      <c r="J99" s="21" t="str">
        <f t="shared" si="9"/>
        <v/>
      </c>
      <c r="K99" s="45" t="str">
        <f>IFERROR(VLOOKUP(J99,ユーザーリスト!$A:$B,2,0),"")</f>
        <v/>
      </c>
      <c r="L99" s="48"/>
      <c r="M99" s="49"/>
      <c r="N99" s="58"/>
      <c r="O99" s="64"/>
      <c r="P99" s="64"/>
      <c r="Q99" s="64"/>
      <c r="R99" s="64"/>
      <c r="S99" s="61"/>
      <c r="T99" s="7"/>
      <c r="U99" s="8"/>
      <c r="V99" s="8"/>
      <c r="W99" s="8"/>
      <c r="X99" s="8" t="str">
        <f t="shared" si="10"/>
        <v/>
      </c>
      <c r="Y99" s="8" t="str">
        <f t="shared" si="11"/>
        <v/>
      </c>
      <c r="Z99" s="8" t="str">
        <f t="shared" si="12"/>
        <v/>
      </c>
      <c r="AA99" s="8"/>
      <c r="AB99" s="57"/>
      <c r="AC99" s="8"/>
      <c r="AD99" s="8" t="str">
        <f t="shared" si="13"/>
        <v/>
      </c>
      <c r="AE99" s="8"/>
    </row>
    <row r="100" spans="1:31" s="4" customFormat="1" ht="42.75" customHeight="1">
      <c r="A100" s="50" t="str">
        <f t="shared" si="7"/>
        <v/>
      </c>
      <c r="B100" s="51"/>
      <c r="C100" s="21" t="str">
        <f t="shared" si="8"/>
        <v/>
      </c>
      <c r="D100" s="46" t="str">
        <f>IFERROR(VLOOKUP(C100,ユーザーリスト!$A:$B,2,0),"")</f>
        <v/>
      </c>
      <c r="E100" s="52"/>
      <c r="F100" s="52"/>
      <c r="G100" s="46"/>
      <c r="H100" s="53"/>
      <c r="I100" s="21" t="str" cm="1">
        <f t="array" ref="I100">IF(U100&lt;&gt;"",INDEX(_xlfn.TEXTSPLIT(#REF!,"_"),2),"")</f>
        <v/>
      </c>
      <c r="J100" s="21" t="str">
        <f t="shared" si="9"/>
        <v/>
      </c>
      <c r="K100" s="45" t="str">
        <f>IFERROR(VLOOKUP(J100,ユーザーリスト!$A:$B,2,0),"")</f>
        <v/>
      </c>
      <c r="L100" s="48"/>
      <c r="M100" s="49"/>
      <c r="N100" s="58"/>
      <c r="O100" s="64"/>
      <c r="P100" s="64"/>
      <c r="Q100" s="64"/>
      <c r="R100" s="64"/>
      <c r="S100" s="61"/>
      <c r="T100" s="7"/>
      <c r="U100" s="8"/>
      <c r="V100" s="8"/>
      <c r="W100" s="8"/>
      <c r="X100" s="8" t="str">
        <f t="shared" si="10"/>
        <v/>
      </c>
      <c r="Y100" s="8" t="str">
        <f t="shared" si="11"/>
        <v/>
      </c>
      <c r="Z100" s="8" t="str">
        <f t="shared" si="12"/>
        <v/>
      </c>
      <c r="AA100" s="8"/>
      <c r="AB100" s="57"/>
      <c r="AC100" s="8"/>
      <c r="AD100" s="8" t="str">
        <f t="shared" si="13"/>
        <v/>
      </c>
      <c r="AE100" s="8"/>
    </row>
    <row r="101" spans="1:31" s="4" customFormat="1" ht="42.75" customHeight="1">
      <c r="A101" s="50" t="str">
        <f t="shared" si="7"/>
        <v/>
      </c>
      <c r="B101" s="5"/>
      <c r="C101" s="5"/>
      <c r="D101" s="46" t="str">
        <f>IFERROR(VLOOKUP(C101,ユーザーリスト!$A:$B,2,0),"")</f>
        <v/>
      </c>
      <c r="E101" s="6"/>
      <c r="F101" s="5"/>
      <c r="G101" s="6"/>
      <c r="H101" s="7"/>
      <c r="I101" s="21" t="str" cm="1">
        <f t="array" ref="I101">IF(U101&lt;&gt;"",INDEX(_xlfn.TEXTSPLIT(#REF!,"_"),2),"")</f>
        <v/>
      </c>
      <c r="J101" s="5"/>
      <c r="K101" s="45" t="str">
        <f>IFERROR(VLOOKUP(J101,ユーザーリスト!$A:$B,2,0),"")</f>
        <v/>
      </c>
      <c r="L101" s="6"/>
      <c r="M101" s="7"/>
      <c r="N101" s="7"/>
      <c r="O101" s="63"/>
      <c r="P101" s="63"/>
      <c r="Q101" s="63"/>
      <c r="R101" s="63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s="4" customFormat="1" ht="42.75" customHeight="1">
      <c r="A102" s="50" t="str">
        <f t="shared" si="7"/>
        <v/>
      </c>
      <c r="B102" s="5"/>
      <c r="C102" s="5"/>
      <c r="D102" s="46" t="str">
        <f>IFERROR(VLOOKUP(C102,ユーザーリスト!$A:$B,2,0),"")</f>
        <v/>
      </c>
      <c r="E102" s="6"/>
      <c r="F102" s="5"/>
      <c r="G102" s="6"/>
      <c r="H102" s="7"/>
      <c r="I102" s="21" t="str" cm="1">
        <f t="array" ref="I102">IF(U102&lt;&gt;"",INDEX(_xlfn.TEXTSPLIT(#REF!,"_"),2),"")</f>
        <v/>
      </c>
      <c r="J102" s="5"/>
      <c r="K102" s="45" t="str">
        <f>IFERROR(VLOOKUP(J102,ユーザーリスト!$A:$B,2,0),"")</f>
        <v/>
      </c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s="4" customFormat="1" ht="42.75" customHeight="1">
      <c r="A103" s="50" t="str">
        <f t="shared" si="7"/>
        <v/>
      </c>
      <c r="B103" s="5"/>
      <c r="C103" s="5"/>
      <c r="D103" s="46" t="str">
        <f>IFERROR(VLOOKUP(C103,ユーザーリスト!$A:$B,2,0),"")</f>
        <v/>
      </c>
      <c r="E103" s="6"/>
      <c r="F103" s="5"/>
      <c r="G103" s="6"/>
      <c r="H103" s="7"/>
      <c r="I103" s="21" t="str" cm="1">
        <f t="array" ref="I103">IF(U103&lt;&gt;"",INDEX(_xlfn.TEXTSPLIT(#REF!,"_"),2),"")</f>
        <v/>
      </c>
      <c r="J103" s="5"/>
      <c r="K103" s="45" t="str">
        <f>IFERROR(VLOOKUP(J103,ユーザーリスト!$A:$B,2,0),"")</f>
        <v/>
      </c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s="4" customFormat="1" ht="42.75" customHeight="1">
      <c r="A104" s="50" t="str">
        <f t="shared" si="7"/>
        <v/>
      </c>
      <c r="B104" s="5"/>
      <c r="C104" s="5"/>
      <c r="D104" s="46" t="str">
        <f>IFERROR(VLOOKUP(C104,ユーザーリスト!$A:$B,2,0),"")</f>
        <v/>
      </c>
      <c r="E104" s="6"/>
      <c r="F104" s="5"/>
      <c r="G104" s="6"/>
      <c r="H104" s="7"/>
      <c r="I104" s="21" t="str" cm="1">
        <f t="array" ref="I104">IF(U104&lt;&gt;"",INDEX(_xlfn.TEXTSPLIT(#REF!,"_"),2),"")</f>
        <v/>
      </c>
      <c r="J104" s="5"/>
      <c r="K104" s="45" t="str">
        <f>IFERROR(VLOOKUP(J104,ユーザーリスト!$A:$B,2,0),"")</f>
        <v/>
      </c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s="4" customFormat="1" ht="42.75" customHeight="1">
      <c r="A105" s="50" t="str">
        <f t="shared" si="7"/>
        <v/>
      </c>
      <c r="B105" s="5"/>
      <c r="C105" s="5"/>
      <c r="D105" s="46" t="str">
        <f>IFERROR(VLOOKUP(C105,ユーザーリスト!$A:$B,2,0),"")</f>
        <v/>
      </c>
      <c r="E105" s="6"/>
      <c r="F105" s="5"/>
      <c r="G105" s="6"/>
      <c r="H105" s="7"/>
      <c r="I105" s="21" t="str" cm="1">
        <f t="array" ref="I105">IF(U105&lt;&gt;"",INDEX(_xlfn.TEXTSPLIT(#REF!,"_"),2),"")</f>
        <v/>
      </c>
      <c r="J105" s="5"/>
      <c r="K105" s="45" t="str">
        <f>IFERROR(VLOOKUP(J105,ユーザーリスト!$A:$B,2,0),"")</f>
        <v/>
      </c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s="4" customFormat="1" ht="42.75" customHeight="1">
      <c r="A106" s="50" t="str">
        <f t="shared" si="7"/>
        <v/>
      </c>
      <c r="B106" s="5"/>
      <c r="C106" s="5"/>
      <c r="D106" s="46" t="str">
        <f>IFERROR(VLOOKUP(C106,ユーザーリスト!$A:$B,2,0),"")</f>
        <v/>
      </c>
      <c r="E106" s="6"/>
      <c r="F106" s="5"/>
      <c r="G106" s="6"/>
      <c r="H106" s="7"/>
      <c r="I106" s="21" t="str" cm="1">
        <f t="array" ref="I106">IF(U106&lt;&gt;"",INDEX(_xlfn.TEXTSPLIT(#REF!,"_"),2),"")</f>
        <v/>
      </c>
      <c r="J106" s="5"/>
      <c r="K106" s="45" t="str">
        <f>IFERROR(VLOOKUP(J106,ユーザーリスト!$A:$B,2,0),"")</f>
        <v/>
      </c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s="4" customFormat="1" ht="42.75" customHeight="1">
      <c r="A107" s="50" t="str">
        <f t="shared" si="7"/>
        <v/>
      </c>
      <c r="B107" s="5"/>
      <c r="C107" s="5"/>
      <c r="D107" s="46" t="str">
        <f>IFERROR(VLOOKUP(C107,ユーザーリスト!$A:$B,2,0),"")</f>
        <v/>
      </c>
      <c r="E107" s="6"/>
      <c r="F107" s="5"/>
      <c r="G107" s="6"/>
      <c r="H107" s="7"/>
      <c r="I107" s="21" t="str" cm="1">
        <f t="array" ref="I107">IF(U107&lt;&gt;"",INDEX(_xlfn.TEXTSPLIT(#REF!,"_"),2),"")</f>
        <v/>
      </c>
      <c r="J107" s="5"/>
      <c r="K107" s="45" t="str">
        <f>IFERROR(VLOOKUP(J107,ユーザーリスト!$A:$B,2,0),"")</f>
        <v/>
      </c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s="4" customFormat="1" ht="42.75" customHeight="1">
      <c r="A108" s="50" t="str">
        <f t="shared" si="7"/>
        <v/>
      </c>
      <c r="B108" s="5"/>
      <c r="C108" s="5"/>
      <c r="D108" s="46" t="str">
        <f>IFERROR(VLOOKUP(C108,ユーザーリスト!$A:$B,2,0),"")</f>
        <v/>
      </c>
      <c r="E108" s="6"/>
      <c r="F108" s="5"/>
      <c r="G108" s="6"/>
      <c r="H108" s="7"/>
      <c r="I108" s="21" t="str" cm="1">
        <f t="array" ref="I108">IF(U108&lt;&gt;"",INDEX(_xlfn.TEXTSPLIT(#REF!,"_"),2),"")</f>
        <v/>
      </c>
      <c r="J108" s="5"/>
      <c r="K108" s="45" t="str">
        <f>IFERROR(VLOOKUP(J108,ユーザーリスト!$A:$B,2,0),"")</f>
        <v/>
      </c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s="4" customFormat="1" ht="42.75" customHeight="1">
      <c r="A109" s="50" t="str">
        <f t="shared" si="7"/>
        <v/>
      </c>
      <c r="B109" s="5"/>
      <c r="C109" s="5"/>
      <c r="D109" s="46" t="str">
        <f>IFERROR(VLOOKUP(C109,ユーザーリスト!$A:$B,2,0),"")</f>
        <v/>
      </c>
      <c r="E109" s="6"/>
      <c r="F109" s="5"/>
      <c r="G109" s="6"/>
      <c r="H109" s="7"/>
      <c r="I109" s="21" t="str" cm="1">
        <f t="array" ref="I109">IF(U109&lt;&gt;"",INDEX(_xlfn.TEXTSPLIT(#REF!,"_"),2),"")</f>
        <v/>
      </c>
      <c r="J109" s="5"/>
      <c r="K109" s="45" t="str">
        <f>IFERROR(VLOOKUP(J109,ユーザーリスト!$A:$B,2,0),"")</f>
        <v/>
      </c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s="4" customFormat="1" ht="42.75" customHeight="1">
      <c r="A110" s="50" t="str">
        <f t="shared" si="7"/>
        <v/>
      </c>
      <c r="B110" s="5"/>
      <c r="C110" s="5"/>
      <c r="D110" s="46" t="str">
        <f>IFERROR(VLOOKUP(C110,ユーザーリスト!$A:$B,2,0),"")</f>
        <v/>
      </c>
      <c r="E110" s="6"/>
      <c r="F110" s="5"/>
      <c r="G110" s="6"/>
      <c r="H110" s="7"/>
      <c r="I110" s="21" t="str" cm="1">
        <f t="array" ref="I110">IF(U110&lt;&gt;"",INDEX(_xlfn.TEXTSPLIT(#REF!,"_"),2),"")</f>
        <v/>
      </c>
      <c r="J110" s="5"/>
      <c r="K110" s="45" t="str">
        <f>IFERROR(VLOOKUP(J110,ユーザーリスト!$A:$B,2,0),"")</f>
        <v/>
      </c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s="4" customFormat="1" ht="42.75" customHeight="1">
      <c r="A111" s="50" t="str">
        <f t="shared" si="7"/>
        <v/>
      </c>
      <c r="B111" s="5"/>
      <c r="C111" s="5"/>
      <c r="D111" s="46" t="str">
        <f>IFERROR(VLOOKUP(C111,ユーザーリスト!$A:$B,2,0),"")</f>
        <v/>
      </c>
      <c r="E111" s="6"/>
      <c r="F111" s="5"/>
      <c r="G111" s="6"/>
      <c r="H111" s="7"/>
      <c r="I111" s="21" t="str" cm="1">
        <f t="array" ref="I111">IF(U111&lt;&gt;"",INDEX(_xlfn.TEXTSPLIT(#REF!,"_"),2),"")</f>
        <v/>
      </c>
      <c r="J111" s="5"/>
      <c r="K111" s="45" t="str">
        <f>IFERROR(VLOOKUP(J111,ユーザーリスト!$A:$B,2,0),"")</f>
        <v/>
      </c>
      <c r="L111" s="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s="4" customFormat="1" ht="42.75" customHeight="1">
      <c r="A112" s="50" t="str">
        <f t="shared" si="7"/>
        <v/>
      </c>
      <c r="B112" s="5"/>
      <c r="C112" s="5"/>
      <c r="D112" s="46" t="str">
        <f>IFERROR(VLOOKUP(C112,ユーザーリスト!$A:$B,2,0),"")</f>
        <v/>
      </c>
      <c r="E112" s="6"/>
      <c r="F112" s="5"/>
      <c r="G112" s="6"/>
      <c r="H112" s="7"/>
      <c r="I112" s="21" t="str" cm="1">
        <f t="array" ref="I112">IF(U112&lt;&gt;"",INDEX(_xlfn.TEXTSPLIT(#REF!,"_"),2),"")</f>
        <v/>
      </c>
      <c r="J112" s="5"/>
      <c r="K112" s="45" t="str">
        <f>IFERROR(VLOOKUP(J112,ユーザーリスト!$A:$B,2,0),"")</f>
        <v/>
      </c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s="4" customFormat="1" ht="42.75" customHeight="1">
      <c r="A113" s="50" t="str">
        <f t="shared" si="7"/>
        <v/>
      </c>
      <c r="B113" s="5"/>
      <c r="C113" s="5"/>
      <c r="D113" s="46" t="str">
        <f>IFERROR(VLOOKUP(C113,ユーザーリスト!$A:$B,2,0),"")</f>
        <v/>
      </c>
      <c r="E113" s="6"/>
      <c r="F113" s="5"/>
      <c r="G113" s="6"/>
      <c r="H113" s="7"/>
      <c r="I113" s="21" t="str" cm="1">
        <f t="array" ref="I113">IF(U113&lt;&gt;"",INDEX(_xlfn.TEXTSPLIT(#REF!,"_"),2),"")</f>
        <v/>
      </c>
      <c r="J113" s="5"/>
      <c r="K113" s="45" t="str">
        <f>IFERROR(VLOOKUP(J113,ユーザーリスト!$A:$B,2,0),"")</f>
        <v/>
      </c>
      <c r="L113" s="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s="4" customFormat="1" ht="42.75" customHeight="1">
      <c r="A114" s="50" t="str">
        <f t="shared" si="7"/>
        <v/>
      </c>
      <c r="B114" s="5"/>
      <c r="C114" s="5"/>
      <c r="D114" s="46" t="str">
        <f>IFERROR(VLOOKUP(C114,ユーザーリスト!$A:$B,2,0),"")</f>
        <v/>
      </c>
      <c r="E114" s="6"/>
      <c r="F114" s="5"/>
      <c r="G114" s="6"/>
      <c r="H114" s="7"/>
      <c r="I114" s="21" t="str" cm="1">
        <f t="array" ref="I114">IF(U114&lt;&gt;"",INDEX(_xlfn.TEXTSPLIT(#REF!,"_"),2),"")</f>
        <v/>
      </c>
      <c r="J114" s="5"/>
      <c r="K114" s="45" t="str">
        <f>IFERROR(VLOOKUP(J114,ユーザーリスト!$A:$B,2,0),"")</f>
        <v/>
      </c>
      <c r="L114" s="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s="4" customFormat="1" ht="42.75" customHeight="1">
      <c r="A115" s="50" t="str">
        <f t="shared" si="7"/>
        <v/>
      </c>
      <c r="B115" s="5"/>
      <c r="C115" s="5"/>
      <c r="D115" s="46" t="str">
        <f>IFERROR(VLOOKUP(C115,ユーザーリスト!$A:$B,2,0),"")</f>
        <v/>
      </c>
      <c r="E115" s="6"/>
      <c r="F115" s="5"/>
      <c r="G115" s="6"/>
      <c r="H115" s="7"/>
      <c r="I115" s="21" t="str" cm="1">
        <f t="array" ref="I115">IF(U115&lt;&gt;"",INDEX(_xlfn.TEXTSPLIT(#REF!,"_"),2),"")</f>
        <v/>
      </c>
      <c r="J115" s="5"/>
      <c r="K115" s="45" t="str">
        <f>IFERROR(VLOOKUP(J115,ユーザーリスト!$A:$B,2,0),"")</f>
        <v/>
      </c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s="4" customFormat="1" ht="42.75" customHeight="1">
      <c r="A116" s="50" t="str">
        <f t="shared" si="7"/>
        <v/>
      </c>
      <c r="B116" s="5"/>
      <c r="C116" s="5"/>
      <c r="D116" s="46" t="str">
        <f>IFERROR(VLOOKUP(C116,ユーザーリスト!$A:$B,2,0),"")</f>
        <v/>
      </c>
      <c r="E116" s="6"/>
      <c r="F116" s="5"/>
      <c r="G116" s="6"/>
      <c r="H116" s="7"/>
      <c r="I116" s="21" t="str" cm="1">
        <f t="array" ref="I116">IF(U116&lt;&gt;"",INDEX(_xlfn.TEXTSPLIT(#REF!,"_"),2),"")</f>
        <v/>
      </c>
      <c r="J116" s="5"/>
      <c r="K116" s="45" t="str">
        <f>IFERROR(VLOOKUP(J116,ユーザーリスト!$A:$B,2,0),"")</f>
        <v/>
      </c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s="4" customFormat="1" ht="42.75" customHeight="1">
      <c r="A117" s="50" t="str">
        <f t="shared" si="7"/>
        <v/>
      </c>
      <c r="B117" s="5"/>
      <c r="C117" s="5"/>
      <c r="D117" s="46" t="str">
        <f>IFERROR(VLOOKUP(C117,ユーザーリスト!$A:$B,2,0),"")</f>
        <v/>
      </c>
      <c r="E117" s="6"/>
      <c r="F117" s="5"/>
      <c r="G117" s="6"/>
      <c r="H117" s="7"/>
      <c r="I117" s="21" t="str" cm="1">
        <f t="array" ref="I117">IF(U117&lt;&gt;"",INDEX(_xlfn.TEXTSPLIT(#REF!,"_"),2),"")</f>
        <v/>
      </c>
      <c r="J117" s="5"/>
      <c r="K117" s="45" t="str">
        <f>IFERROR(VLOOKUP(J117,ユーザーリスト!$A:$B,2,0),"")</f>
        <v/>
      </c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s="4" customFormat="1" ht="42.75" customHeight="1">
      <c r="A118" s="50" t="str">
        <f t="shared" si="7"/>
        <v/>
      </c>
      <c r="B118" s="5"/>
      <c r="C118" s="5"/>
      <c r="D118" s="46" t="str">
        <f>IFERROR(VLOOKUP(C118,ユーザーリスト!$A:$B,2,0),"")</f>
        <v/>
      </c>
      <c r="E118" s="6"/>
      <c r="F118" s="5"/>
      <c r="G118" s="6"/>
      <c r="H118" s="7"/>
      <c r="I118" s="21" t="str" cm="1">
        <f t="array" ref="I118">IF(U118&lt;&gt;"",INDEX(_xlfn.TEXTSPLIT(#REF!,"_"),2),"")</f>
        <v/>
      </c>
      <c r="J118" s="5"/>
      <c r="K118" s="45" t="str">
        <f>IFERROR(VLOOKUP(J118,ユーザーリスト!$A:$B,2,0),"")</f>
        <v/>
      </c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s="4" customFormat="1" ht="42.75" customHeight="1">
      <c r="A119" s="50" t="str">
        <f t="shared" si="7"/>
        <v/>
      </c>
      <c r="B119" s="5"/>
      <c r="C119" s="5"/>
      <c r="D119" s="46" t="str">
        <f>IFERROR(VLOOKUP(C119,ユーザーリスト!$A:$B,2,0),"")</f>
        <v/>
      </c>
      <c r="E119" s="6"/>
      <c r="F119" s="5"/>
      <c r="G119" s="6"/>
      <c r="H119" s="7"/>
      <c r="I119" s="21" t="str" cm="1">
        <f t="array" ref="I119">IF(U119&lt;&gt;"",INDEX(_xlfn.TEXTSPLIT(#REF!,"_"),2),"")</f>
        <v/>
      </c>
      <c r="J119" s="5"/>
      <c r="K119" s="45" t="str">
        <f>IFERROR(VLOOKUP(J119,ユーザーリスト!$A:$B,2,0),"")</f>
        <v/>
      </c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s="4" customFormat="1" ht="42.75" customHeight="1">
      <c r="A120" s="50" t="str">
        <f t="shared" si="7"/>
        <v/>
      </c>
      <c r="B120" s="5"/>
      <c r="C120" s="5"/>
      <c r="D120" s="46" t="str">
        <f>IFERROR(VLOOKUP(C120,ユーザーリスト!$A:$B,2,0),"")</f>
        <v/>
      </c>
      <c r="E120" s="6"/>
      <c r="F120" s="5"/>
      <c r="G120" s="6"/>
      <c r="H120" s="7"/>
      <c r="I120" s="21" t="str" cm="1">
        <f t="array" ref="I120">IF(U120&lt;&gt;"",INDEX(_xlfn.TEXTSPLIT(#REF!,"_"),2),"")</f>
        <v/>
      </c>
      <c r="J120" s="5"/>
      <c r="K120" s="45" t="str">
        <f>IFERROR(VLOOKUP(J120,ユーザーリスト!$A:$B,2,0),"")</f>
        <v/>
      </c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s="4" customFormat="1" ht="42.75" customHeight="1">
      <c r="A121" s="50" t="str">
        <f t="shared" si="7"/>
        <v/>
      </c>
      <c r="B121" s="5"/>
      <c r="C121" s="5"/>
      <c r="D121" s="46" t="str">
        <f>IFERROR(VLOOKUP(C121,ユーザーリスト!$A:$B,2,0),"")</f>
        <v/>
      </c>
      <c r="E121" s="6"/>
      <c r="F121" s="5"/>
      <c r="G121" s="6"/>
      <c r="H121" s="7"/>
      <c r="I121" s="21" t="str" cm="1">
        <f t="array" ref="I121">IF(U121&lt;&gt;"",INDEX(_xlfn.TEXTSPLIT(#REF!,"_"),2),"")</f>
        <v/>
      </c>
      <c r="J121" s="5"/>
      <c r="K121" s="45" t="str">
        <f>IFERROR(VLOOKUP(J121,ユーザーリスト!$A:$B,2,0),"")</f>
        <v/>
      </c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s="4" customFormat="1" ht="42.75" customHeight="1">
      <c r="A122" s="50" t="str">
        <f t="shared" si="7"/>
        <v/>
      </c>
      <c r="B122" s="5"/>
      <c r="C122" s="5"/>
      <c r="D122" s="46" t="str">
        <f>IFERROR(VLOOKUP(C122,ユーザーリスト!$A:$B,2,0),"")</f>
        <v/>
      </c>
      <c r="E122" s="6"/>
      <c r="F122" s="5"/>
      <c r="G122" s="6"/>
      <c r="H122" s="7"/>
      <c r="I122" s="21" t="str" cm="1">
        <f t="array" ref="I122">IF(U122&lt;&gt;"",INDEX(_xlfn.TEXTSPLIT(#REF!,"_"),2),"")</f>
        <v/>
      </c>
      <c r="J122" s="5"/>
      <c r="K122" s="45" t="str">
        <f>IFERROR(VLOOKUP(J122,ユーザーリスト!$A:$B,2,0),"")</f>
        <v/>
      </c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s="4" customFormat="1" ht="42.75" customHeight="1">
      <c r="A123" s="50" t="str">
        <f t="shared" si="7"/>
        <v/>
      </c>
      <c r="B123" s="5"/>
      <c r="C123" s="5"/>
      <c r="D123" s="46" t="str">
        <f>IFERROR(VLOOKUP(C123,ユーザーリスト!$A:$B,2,0),"")</f>
        <v/>
      </c>
      <c r="E123" s="6"/>
      <c r="F123" s="5"/>
      <c r="G123" s="6"/>
      <c r="H123" s="7"/>
      <c r="I123" s="21" t="str" cm="1">
        <f t="array" ref="I123">IF(U123&lt;&gt;"",INDEX(_xlfn.TEXTSPLIT(#REF!,"_"),2),"")</f>
        <v/>
      </c>
      <c r="J123" s="5"/>
      <c r="K123" s="45" t="str">
        <f>IFERROR(VLOOKUP(J123,ユーザーリスト!$A:$B,2,0),"")</f>
        <v/>
      </c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s="4" customFormat="1" ht="42.75" customHeight="1">
      <c r="A124" s="50" t="str">
        <f t="shared" si="7"/>
        <v/>
      </c>
      <c r="B124" s="5"/>
      <c r="C124" s="5"/>
      <c r="D124" s="46" t="str">
        <f>IFERROR(VLOOKUP(C124,ユーザーリスト!$A:$B,2,0),"")</f>
        <v/>
      </c>
      <c r="E124" s="6"/>
      <c r="F124" s="5"/>
      <c r="G124" s="6"/>
      <c r="H124" s="7"/>
      <c r="I124" s="21" t="str" cm="1">
        <f t="array" ref="I124">IF(U124&lt;&gt;"",INDEX(_xlfn.TEXTSPLIT(#REF!,"_"),2),"")</f>
        <v/>
      </c>
      <c r="J124" s="5"/>
      <c r="K124" s="45" t="str">
        <f>IFERROR(VLOOKUP(J124,ユーザーリスト!$A:$B,2,0),"")</f>
        <v/>
      </c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s="4" customFormat="1" ht="42.75" customHeight="1">
      <c r="A125" s="50" t="str">
        <f t="shared" si="7"/>
        <v/>
      </c>
      <c r="B125" s="5"/>
      <c r="C125" s="5"/>
      <c r="D125" s="46" t="str">
        <f>IFERROR(VLOOKUP(C125,ユーザーリスト!$A:$B,2,0),"")</f>
        <v/>
      </c>
      <c r="E125" s="6"/>
      <c r="F125" s="5"/>
      <c r="G125" s="6"/>
      <c r="H125" s="7"/>
      <c r="I125" s="21" t="str" cm="1">
        <f t="array" ref="I125">IF(U125&lt;&gt;"",INDEX(_xlfn.TEXTSPLIT(#REF!,"_"),2),"")</f>
        <v/>
      </c>
      <c r="J125" s="5"/>
      <c r="K125" s="45" t="str">
        <f>IFERROR(VLOOKUP(J125,ユーザーリスト!$A:$B,2,0),"")</f>
        <v/>
      </c>
      <c r="L125" s="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s="4" customFormat="1" ht="42.75" customHeight="1">
      <c r="A126" s="50" t="str">
        <f t="shared" si="7"/>
        <v/>
      </c>
      <c r="B126" s="5"/>
      <c r="C126" s="5"/>
      <c r="D126" s="46" t="str">
        <f>IFERROR(VLOOKUP(C126,ユーザーリスト!$A:$B,2,0),"")</f>
        <v/>
      </c>
      <c r="E126" s="6"/>
      <c r="F126" s="5"/>
      <c r="G126" s="6"/>
      <c r="H126" s="7"/>
      <c r="I126" s="21" t="str" cm="1">
        <f t="array" ref="I126">IF(U126&lt;&gt;"",INDEX(_xlfn.TEXTSPLIT(#REF!,"_"),2),"")</f>
        <v/>
      </c>
      <c r="J126" s="5"/>
      <c r="K126" s="45" t="str">
        <f>IFERROR(VLOOKUP(J126,ユーザーリスト!$A:$B,2,0),"")</f>
        <v/>
      </c>
      <c r="L126" s="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s="4" customFormat="1" ht="42.75" customHeight="1">
      <c r="A127" s="50" t="str">
        <f t="shared" si="7"/>
        <v/>
      </c>
      <c r="B127" s="5"/>
      <c r="C127" s="5"/>
      <c r="D127" s="46" t="str">
        <f>IFERROR(VLOOKUP(C127,ユーザーリスト!$A:$B,2,0),"")</f>
        <v/>
      </c>
      <c r="E127" s="6"/>
      <c r="F127" s="5"/>
      <c r="G127" s="6"/>
      <c r="H127" s="7"/>
      <c r="I127" s="21" t="str" cm="1">
        <f t="array" ref="I127">IF(U127&lt;&gt;"",INDEX(_xlfn.TEXTSPLIT(#REF!,"_"),2),"")</f>
        <v/>
      </c>
      <c r="J127" s="5"/>
      <c r="K127" s="45" t="str">
        <f>IFERROR(VLOOKUP(J127,ユーザーリスト!$A:$B,2,0),"")</f>
        <v/>
      </c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s="4" customFormat="1" ht="42.75" customHeight="1">
      <c r="A128" s="50" t="str">
        <f t="shared" si="7"/>
        <v/>
      </c>
      <c r="B128" s="5"/>
      <c r="C128" s="5"/>
      <c r="D128" s="46" t="str">
        <f>IFERROR(VLOOKUP(C128,ユーザーリスト!$A:$B,2,0),"")</f>
        <v/>
      </c>
      <c r="E128" s="6"/>
      <c r="F128" s="5"/>
      <c r="G128" s="6"/>
      <c r="H128" s="7"/>
      <c r="I128" s="21" t="str" cm="1">
        <f t="array" ref="I128">IF(U128&lt;&gt;"",INDEX(_xlfn.TEXTSPLIT(#REF!,"_"),2),"")</f>
        <v/>
      </c>
      <c r="J128" s="5"/>
      <c r="K128" s="45" t="str">
        <f>IFERROR(VLOOKUP(J128,ユーザーリスト!$A:$B,2,0),"")</f>
        <v/>
      </c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s="4" customFormat="1" ht="42.75" customHeight="1">
      <c r="A129" s="50" t="str">
        <f t="shared" si="7"/>
        <v/>
      </c>
      <c r="B129" s="5"/>
      <c r="C129" s="5"/>
      <c r="D129" s="46" t="str">
        <f>IFERROR(VLOOKUP(C129,ユーザーリスト!$A:$B,2,0),"")</f>
        <v/>
      </c>
      <c r="E129" s="6"/>
      <c r="F129" s="5"/>
      <c r="G129" s="6"/>
      <c r="H129" s="7"/>
      <c r="I129" s="21" t="str" cm="1">
        <f t="array" ref="I129">IF(U129&lt;&gt;"",INDEX(_xlfn.TEXTSPLIT(#REF!,"_"),2),"")</f>
        <v/>
      </c>
      <c r="J129" s="5"/>
      <c r="K129" s="45" t="str">
        <f>IFERROR(VLOOKUP(J129,ユーザーリスト!$A:$B,2,0),"")</f>
        <v/>
      </c>
      <c r="L129" s="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s="4" customFormat="1" ht="42.75" customHeight="1">
      <c r="A130" s="50" t="str">
        <f t="shared" si="7"/>
        <v/>
      </c>
      <c r="B130" s="5"/>
      <c r="C130" s="5"/>
      <c r="D130" s="46" t="str">
        <f>IFERROR(VLOOKUP(C130,ユーザーリスト!$A:$B,2,0),"")</f>
        <v/>
      </c>
      <c r="E130" s="6"/>
      <c r="F130" s="5"/>
      <c r="G130" s="6"/>
      <c r="H130" s="7"/>
      <c r="I130" s="21" t="str" cm="1">
        <f t="array" ref="I130">IF(U130&lt;&gt;"",INDEX(_xlfn.TEXTSPLIT(#REF!,"_"),2),"")</f>
        <v/>
      </c>
      <c r="J130" s="5"/>
      <c r="K130" s="45" t="str">
        <f>IFERROR(VLOOKUP(J130,ユーザーリスト!$A:$B,2,0),"")</f>
        <v/>
      </c>
      <c r="L130" s="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s="4" customFormat="1" ht="42.75" customHeight="1">
      <c r="A131" s="50" t="str">
        <f t="shared" si="7"/>
        <v/>
      </c>
      <c r="B131" s="5"/>
      <c r="C131" s="5"/>
      <c r="D131" s="46" t="str">
        <f>IFERROR(VLOOKUP(C131,ユーザーリスト!$A:$B,2,0),"")</f>
        <v/>
      </c>
      <c r="E131" s="6"/>
      <c r="F131" s="5"/>
      <c r="G131" s="6"/>
      <c r="H131" s="7"/>
      <c r="I131" s="21" t="str" cm="1">
        <f t="array" ref="I131">IF(U131&lt;&gt;"",INDEX(_xlfn.TEXTSPLIT(#REF!,"_"),2),"")</f>
        <v/>
      </c>
      <c r="J131" s="5"/>
      <c r="K131" s="45" t="str">
        <f>IFERROR(VLOOKUP(J131,ユーザーリスト!$A:$B,2,0),"")</f>
        <v/>
      </c>
      <c r="L131" s="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s="4" customFormat="1" ht="42.75" customHeight="1">
      <c r="A132" s="50" t="str">
        <f t="shared" si="7"/>
        <v/>
      </c>
      <c r="B132" s="5"/>
      <c r="C132" s="5"/>
      <c r="D132" s="46" t="str">
        <f>IFERROR(VLOOKUP(C132,ユーザーリスト!$A:$B,2,0),"")</f>
        <v/>
      </c>
      <c r="E132" s="6"/>
      <c r="F132" s="5"/>
      <c r="G132" s="6"/>
      <c r="H132" s="7"/>
      <c r="I132" s="21" t="str" cm="1">
        <f t="array" ref="I132">IF(U132&lt;&gt;"",INDEX(_xlfn.TEXTSPLIT(#REF!,"_"),2),"")</f>
        <v/>
      </c>
      <c r="J132" s="5"/>
      <c r="K132" s="45" t="str">
        <f>IFERROR(VLOOKUP(J132,ユーザーリスト!$A:$B,2,0),"")</f>
        <v/>
      </c>
      <c r="L132" s="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s="4" customFormat="1" ht="42.75" customHeight="1">
      <c r="A133" s="50" t="str">
        <f t="shared" si="7"/>
        <v/>
      </c>
      <c r="B133" s="5"/>
      <c r="C133" s="5"/>
      <c r="D133" s="46" t="str">
        <f>IFERROR(VLOOKUP(C133,ユーザーリスト!$A:$B,2,0),"")</f>
        <v/>
      </c>
      <c r="E133" s="6"/>
      <c r="F133" s="5"/>
      <c r="G133" s="6"/>
      <c r="H133" s="7"/>
      <c r="I133" s="21" t="str" cm="1">
        <f t="array" ref="I133">IF(U133&lt;&gt;"",INDEX(_xlfn.TEXTSPLIT(#REF!,"_"),2),"")</f>
        <v/>
      </c>
      <c r="J133" s="5"/>
      <c r="K133" s="45" t="str">
        <f>IFERROR(VLOOKUP(J133,ユーザーリスト!$A:$B,2,0),"")</f>
        <v/>
      </c>
      <c r="L133" s="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s="4" customFormat="1" ht="42.75" customHeight="1">
      <c r="A134" s="50" t="str">
        <f t="shared" ref="A134:A136" si="14">IF(U134&lt;&gt;"",U134,"")</f>
        <v/>
      </c>
      <c r="B134" s="5"/>
      <c r="C134" s="5"/>
      <c r="D134" s="46" t="str">
        <f>IFERROR(VLOOKUP(C134,ユーザーリスト!$A:$B,2,0),"")</f>
        <v/>
      </c>
      <c r="E134" s="6"/>
      <c r="F134" s="5"/>
      <c r="G134" s="6"/>
      <c r="H134" s="7"/>
      <c r="I134" s="21" t="str" cm="1">
        <f t="array" ref="I134">IF(U134&lt;&gt;"",INDEX(_xlfn.TEXTSPLIT(#REF!,"_"),2),"")</f>
        <v/>
      </c>
      <c r="J134" s="5"/>
      <c r="K134" s="45" t="str">
        <f>IFERROR(VLOOKUP(J134,ユーザーリスト!$A:$B,2,0),"")</f>
        <v/>
      </c>
      <c r="L134" s="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s="4" customFormat="1" ht="42.75" customHeight="1">
      <c r="A135" s="50" t="str">
        <f t="shared" si="14"/>
        <v/>
      </c>
      <c r="B135" s="5"/>
      <c r="C135" s="5"/>
      <c r="D135" s="46" t="str">
        <f>IFERROR(VLOOKUP(C135,ユーザーリスト!$A:$B,2,0),"")</f>
        <v/>
      </c>
      <c r="E135" s="6"/>
      <c r="F135" s="5"/>
      <c r="G135" s="6"/>
      <c r="H135" s="7"/>
      <c r="I135" s="21" t="str" cm="1">
        <f t="array" ref="I135">IF(U135&lt;&gt;"",INDEX(_xlfn.TEXTSPLIT(#REF!,"_"),2),"")</f>
        <v/>
      </c>
      <c r="J135" s="5"/>
      <c r="K135" s="45" t="str">
        <f>IFERROR(VLOOKUP(J135,ユーザーリスト!$A:$B,2,0),"")</f>
        <v/>
      </c>
      <c r="L135" s="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s="4" customFormat="1" ht="42.75" customHeight="1">
      <c r="A136" s="50" t="str">
        <f t="shared" si="14"/>
        <v/>
      </c>
      <c r="B136" s="5"/>
      <c r="C136" s="5"/>
      <c r="D136" s="46" t="str">
        <f>IFERROR(VLOOKUP(C136,ユーザーリスト!$A:$B,2,0),"")</f>
        <v/>
      </c>
      <c r="E136" s="6"/>
      <c r="F136" s="5"/>
      <c r="G136" s="6"/>
      <c r="H136" s="7"/>
      <c r="I136" s="21" t="str" cm="1">
        <f t="array" ref="I136">IF(U136&lt;&gt;"",INDEX(_xlfn.TEXTSPLIT(#REF!,"_"),2),"")</f>
        <v/>
      </c>
      <c r="J136" s="5"/>
      <c r="K136" s="45" t="str">
        <f>IFERROR(VLOOKUP(J136,ユーザーリスト!$A:$B,2,0),"")</f>
        <v/>
      </c>
      <c r="L136" s="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</sheetData>
  <phoneticPr fontId="13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8B98F-DDCB-4426-A914-B67440989AAA}">
          <x14:formula1>
            <xm:f>ユーザーリスト!#REF!</xm:f>
          </x14:formula1>
          <xm:sqref>J101:J136 C101:C136</xm:sqref>
        </x14:dataValidation>
        <x14:dataValidation type="list" allowBlank="1" showInputMessage="1" showErrorMessage="1" xr:uid="{AD0485AA-3850-4FAA-8B41-2359112106B9}">
          <x14:formula1>
            <xm:f>ユーザーリスト!$A$2:$A$21</xm:f>
          </x14:formula1>
          <xm:sqref>J5:J100 C5:C100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9C18-961F-4510-95F7-155483B322AD}">
  <dimension ref="A1:C36"/>
  <sheetViews>
    <sheetView workbookViewId="0"/>
  </sheetViews>
  <sheetFormatPr baseColWidth="10"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</cols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41</v>
      </c>
      <c r="C3" t="s">
        <v>42</v>
      </c>
    </row>
    <row r="4" spans="1:3">
      <c r="A4" t="s">
        <v>38</v>
      </c>
      <c r="B4" t="s">
        <v>43</v>
      </c>
      <c r="C4" t="s">
        <v>44</v>
      </c>
    </row>
    <row r="5" spans="1:3">
      <c r="A5" t="s">
        <v>38</v>
      </c>
      <c r="B5" t="s">
        <v>45</v>
      </c>
      <c r="C5" t="s">
        <v>46</v>
      </c>
    </row>
    <row r="6" spans="1:3">
      <c r="A6" t="s">
        <v>38</v>
      </c>
      <c r="B6" t="s">
        <v>47</v>
      </c>
      <c r="C6" t="s">
        <v>48</v>
      </c>
    </row>
    <row r="7" spans="1:3">
      <c r="A7" t="s">
        <v>38</v>
      </c>
      <c r="B7" t="s">
        <v>49</v>
      </c>
      <c r="C7" t="s">
        <v>50</v>
      </c>
    </row>
    <row r="8" spans="1:3">
      <c r="A8" t="s">
        <v>38</v>
      </c>
      <c r="B8" t="s">
        <v>51</v>
      </c>
      <c r="C8" t="s">
        <v>52</v>
      </c>
    </row>
    <row r="9" spans="1:3">
      <c r="A9" t="s">
        <v>53</v>
      </c>
      <c r="B9" t="s">
        <v>41</v>
      </c>
      <c r="C9" t="s">
        <v>54</v>
      </c>
    </row>
    <row r="10" spans="1:3">
      <c r="A10" t="s">
        <v>53</v>
      </c>
      <c r="B10" t="s">
        <v>39</v>
      </c>
      <c r="C10" t="s">
        <v>55</v>
      </c>
    </row>
    <row r="11" spans="1:3">
      <c r="A11" t="s">
        <v>53</v>
      </c>
      <c r="B11" t="s">
        <v>56</v>
      </c>
      <c r="C11" t="s">
        <v>57</v>
      </c>
    </row>
    <row r="12" spans="1:3">
      <c r="A12" t="s">
        <v>58</v>
      </c>
      <c r="B12" t="s">
        <v>39</v>
      </c>
      <c r="C12" t="s">
        <v>59</v>
      </c>
    </row>
    <row r="13" spans="1:3">
      <c r="A13" t="s">
        <v>58</v>
      </c>
      <c r="B13" t="s">
        <v>41</v>
      </c>
      <c r="C13" t="s">
        <v>60</v>
      </c>
    </row>
    <row r="14" spans="1:3">
      <c r="A14" t="s">
        <v>58</v>
      </c>
      <c r="B14" t="s">
        <v>43</v>
      </c>
      <c r="C14" t="s">
        <v>61</v>
      </c>
    </row>
    <row r="15" spans="1:3">
      <c r="A15" t="s">
        <v>58</v>
      </c>
      <c r="B15" t="s">
        <v>56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49</v>
      </c>
      <c r="C17" t="s">
        <v>65</v>
      </c>
    </row>
    <row r="18" spans="1:3">
      <c r="A18" t="s">
        <v>58</v>
      </c>
      <c r="B18" t="s">
        <v>51</v>
      </c>
      <c r="C18" t="s">
        <v>66</v>
      </c>
    </row>
    <row r="19" spans="1:3">
      <c r="A19" t="s">
        <v>67</v>
      </c>
      <c r="B19" t="s">
        <v>39</v>
      </c>
      <c r="C19" t="s">
        <v>68</v>
      </c>
    </row>
    <row r="20" spans="1:3">
      <c r="A20" t="s">
        <v>67</v>
      </c>
      <c r="B20" t="s">
        <v>41</v>
      </c>
      <c r="C20" t="s">
        <v>69</v>
      </c>
    </row>
    <row r="21" spans="1:3">
      <c r="A21" t="s">
        <v>67</v>
      </c>
      <c r="B21" t="s">
        <v>43</v>
      </c>
      <c r="C21" t="s">
        <v>70</v>
      </c>
    </row>
    <row r="22" spans="1:3">
      <c r="A22" t="s">
        <v>67</v>
      </c>
      <c r="B22" t="s">
        <v>45</v>
      </c>
      <c r="C22" t="s">
        <v>71</v>
      </c>
    </row>
    <row r="23" spans="1:3">
      <c r="A23" t="s">
        <v>67</v>
      </c>
      <c r="B23" t="s">
        <v>51</v>
      </c>
      <c r="C23" t="s">
        <v>72</v>
      </c>
    </row>
    <row r="24" spans="1:3">
      <c r="A24" t="s">
        <v>73</v>
      </c>
      <c r="B24" t="s">
        <v>41</v>
      </c>
      <c r="C24" t="s">
        <v>74</v>
      </c>
    </row>
    <row r="25" spans="1:3">
      <c r="A25" t="s">
        <v>75</v>
      </c>
      <c r="B25" t="s">
        <v>41</v>
      </c>
      <c r="C25" t="s">
        <v>76</v>
      </c>
    </row>
    <row r="26" spans="1:3">
      <c r="A26" t="s">
        <v>77</v>
      </c>
      <c r="B26" t="s">
        <v>41</v>
      </c>
      <c r="C26" t="s">
        <v>78</v>
      </c>
    </row>
    <row r="27" spans="1:3">
      <c r="A27" t="s">
        <v>38</v>
      </c>
      <c r="B27" t="s">
        <v>79</v>
      </c>
      <c r="C27" t="s">
        <v>80</v>
      </c>
    </row>
    <row r="28" spans="1:3">
      <c r="A28" t="s">
        <v>38</v>
      </c>
      <c r="B28" t="s">
        <v>81</v>
      </c>
      <c r="C28" t="s">
        <v>82</v>
      </c>
    </row>
    <row r="29" spans="1:3">
      <c r="A29" t="s">
        <v>77</v>
      </c>
      <c r="B29" t="s">
        <v>83</v>
      </c>
      <c r="C29" t="s">
        <v>84</v>
      </c>
    </row>
    <row r="30" spans="1:3">
      <c r="A30" t="s">
        <v>77</v>
      </c>
      <c r="B30" t="s">
        <v>85</v>
      </c>
      <c r="C30" t="s">
        <v>86</v>
      </c>
    </row>
    <row r="31" spans="1:3">
      <c r="A31" t="s">
        <v>77</v>
      </c>
      <c r="B31" t="s">
        <v>87</v>
      </c>
      <c r="C31" t="s">
        <v>88</v>
      </c>
    </row>
    <row r="32" spans="1:3">
      <c r="A32" t="s">
        <v>77</v>
      </c>
      <c r="B32" t="s">
        <v>89</v>
      </c>
      <c r="C32" t="s">
        <v>90</v>
      </c>
    </row>
    <row r="33" spans="1:3">
      <c r="A33" t="s">
        <v>77</v>
      </c>
      <c r="B33" t="s">
        <v>91</v>
      </c>
      <c r="C33" t="s">
        <v>92</v>
      </c>
    </row>
    <row r="34" spans="1:3">
      <c r="A34" t="s">
        <v>77</v>
      </c>
      <c r="B34" t="s">
        <v>93</v>
      </c>
      <c r="C34" t="s">
        <v>94</v>
      </c>
    </row>
    <row r="35" spans="1:3">
      <c r="A35" t="s">
        <v>38</v>
      </c>
      <c r="B35" t="s">
        <v>95</v>
      </c>
      <c r="C35" t="s">
        <v>96</v>
      </c>
    </row>
    <row r="36" spans="1:3">
      <c r="A36" t="s">
        <v>38</v>
      </c>
      <c r="B36" t="s">
        <v>97</v>
      </c>
      <c r="C36" t="s">
        <v>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BC49-8AA6-4A59-AB82-58615BD13C48}">
  <dimension ref="A1:B25"/>
  <sheetViews>
    <sheetView topLeftCell="A7" workbookViewId="0"/>
  </sheetViews>
  <sheetFormatPr baseColWidth="10" defaultColWidth="8.83203125" defaultRowHeight="18"/>
  <cols>
    <col min="1" max="1" width="40.6640625" bestFit="1" customWidth="1"/>
    <col min="2" max="2" width="49.5" bestFit="1" customWidth="1"/>
  </cols>
  <sheetData>
    <row r="1" spans="1:2">
      <c r="A1" t="s">
        <v>36</v>
      </c>
      <c r="B1" t="s">
        <v>37</v>
      </c>
    </row>
    <row r="2" spans="1:2">
      <c r="A2" t="s">
        <v>99</v>
      </c>
      <c r="B2" t="s">
        <v>100</v>
      </c>
    </row>
    <row r="3" spans="1:2">
      <c r="A3" t="s">
        <v>101</v>
      </c>
      <c r="B3" t="s">
        <v>102</v>
      </c>
    </row>
    <row r="4" spans="1:2">
      <c r="A4" t="s">
        <v>103</v>
      </c>
      <c r="B4" t="s">
        <v>104</v>
      </c>
    </row>
    <row r="5" spans="1:2">
      <c r="A5" t="s">
        <v>43</v>
      </c>
      <c r="B5" t="s">
        <v>105</v>
      </c>
    </row>
    <row r="6" spans="1:2">
      <c r="A6" t="s">
        <v>106</v>
      </c>
      <c r="B6" t="s">
        <v>107</v>
      </c>
    </row>
    <row r="7" spans="1:2">
      <c r="A7" t="s">
        <v>108</v>
      </c>
      <c r="B7" t="s">
        <v>109</v>
      </c>
    </row>
    <row r="8" spans="1:2">
      <c r="A8" t="s">
        <v>63</v>
      </c>
      <c r="B8" t="s">
        <v>110</v>
      </c>
    </row>
    <row r="9" spans="1:2">
      <c r="A9" t="s">
        <v>111</v>
      </c>
      <c r="B9" t="s">
        <v>112</v>
      </c>
    </row>
    <row r="10" spans="1:2">
      <c r="A10" t="s">
        <v>56</v>
      </c>
      <c r="B10" t="s">
        <v>113</v>
      </c>
    </row>
    <row r="11" spans="1:2">
      <c r="A11" t="s">
        <v>114</v>
      </c>
      <c r="B11" t="s">
        <v>115</v>
      </c>
    </row>
    <row r="12" spans="1:2">
      <c r="A12" t="s">
        <v>81</v>
      </c>
      <c r="B12" t="s">
        <v>116</v>
      </c>
    </row>
    <row r="13" spans="1:2">
      <c r="A13" t="s">
        <v>95</v>
      </c>
      <c r="B13" t="s">
        <v>117</v>
      </c>
    </row>
    <row r="14" spans="1:2">
      <c r="A14" t="s">
        <v>97</v>
      </c>
      <c r="B14" t="s">
        <v>118</v>
      </c>
    </row>
    <row r="15" spans="1:2">
      <c r="A15" t="s">
        <v>79</v>
      </c>
      <c r="B15" t="s">
        <v>119</v>
      </c>
    </row>
    <row r="16" spans="1:2">
      <c r="A16" t="s">
        <v>83</v>
      </c>
      <c r="B16" t="s">
        <v>120</v>
      </c>
    </row>
    <row r="17" spans="1:2">
      <c r="A17" t="s">
        <v>85</v>
      </c>
      <c r="B17" t="s">
        <v>121</v>
      </c>
    </row>
    <row r="18" spans="1:2">
      <c r="A18" t="s">
        <v>87</v>
      </c>
      <c r="B18" t="s">
        <v>122</v>
      </c>
    </row>
    <row r="19" spans="1:2">
      <c r="A19" t="s">
        <v>89</v>
      </c>
      <c r="B19" t="s">
        <v>123</v>
      </c>
    </row>
    <row r="20" spans="1:2">
      <c r="A20" t="s">
        <v>91</v>
      </c>
      <c r="B20" t="s">
        <v>124</v>
      </c>
    </row>
    <row r="21" spans="1:2">
      <c r="A21" t="s">
        <v>93</v>
      </c>
      <c r="B21" t="s">
        <v>125</v>
      </c>
    </row>
    <row r="22" spans="1:2">
      <c r="A22" t="s">
        <v>126</v>
      </c>
      <c r="B22" t="s">
        <v>127</v>
      </c>
    </row>
    <row r="23" spans="1:2">
      <c r="A23" t="s">
        <v>128</v>
      </c>
      <c r="B23" t="s">
        <v>129</v>
      </c>
    </row>
    <row r="24" spans="1:2">
      <c r="A24" t="s">
        <v>130</v>
      </c>
      <c r="B24" t="s">
        <v>131</v>
      </c>
    </row>
    <row r="25" spans="1:2">
      <c r="A25" t="s">
        <v>132</v>
      </c>
      <c r="B25" t="s">
        <v>133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8CF9-AA9D-4CA1-B6E0-4DF76A8A0E21}">
  <dimension ref="A1:S8"/>
  <sheetViews>
    <sheetView workbookViewId="0">
      <selection activeCell="A3" sqref="A3:B5"/>
    </sheetView>
  </sheetViews>
  <sheetFormatPr baseColWidth="10" defaultColWidth="8.83203125" defaultRowHeight="18"/>
  <cols>
    <col min="1" max="1" width="21.1640625" customWidth="1"/>
    <col min="2" max="2" width="63.6640625" bestFit="1" customWidth="1"/>
  </cols>
  <sheetData>
    <row r="1" spans="1:19">
      <c r="A1" t="s">
        <v>143</v>
      </c>
      <c r="B1" t="s">
        <v>144</v>
      </c>
    </row>
    <row r="2" spans="1:19">
      <c r="A2" t="s">
        <v>140</v>
      </c>
      <c r="B2" t="s">
        <v>139</v>
      </c>
      <c r="D2" t="s">
        <v>145</v>
      </c>
      <c r="S2" s="47"/>
    </row>
    <row r="3" spans="1:19">
      <c r="A3" t="s">
        <v>142</v>
      </c>
      <c r="B3" t="s">
        <v>141</v>
      </c>
      <c r="S3" s="47"/>
    </row>
    <row r="4" spans="1:19">
      <c r="A4" t="s">
        <v>150</v>
      </c>
      <c r="B4" t="s">
        <v>149</v>
      </c>
      <c r="S4" s="47"/>
    </row>
    <row r="5" spans="1:19">
      <c r="A5" t="s">
        <v>151</v>
      </c>
      <c r="B5" t="s">
        <v>152</v>
      </c>
      <c r="S5" s="47"/>
    </row>
    <row r="6" spans="1:19">
      <c r="S6" s="47"/>
    </row>
    <row r="7" spans="1:19">
      <c r="S7" s="47"/>
    </row>
    <row r="8" spans="1:19">
      <c r="S8" s="47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7E1CDC85A20AD43AC8B197C3666E45D" ma:contentTypeVersion="6" ma:contentTypeDescription="新しいドキュメントを作成します。" ma:contentTypeScope="" ma:versionID="4b41b4c34d5ddc1eeaeeb18b53b3778b">
  <xsd:schema xmlns:xsd="http://www.w3.org/2001/XMLSchema" xmlns:xs="http://www.w3.org/2001/XMLSchema" xmlns:p="http://schemas.microsoft.com/office/2006/metadata/properties" xmlns:ns2="446ee44a-4d06-438e-94b3-fbe32bf107cf" xmlns:ns3="c2dbe6c9-e276-4ac9-842a-29f3873b674d" targetNamespace="http://schemas.microsoft.com/office/2006/metadata/properties" ma:root="true" ma:fieldsID="1a1dd0c8b58709683466e8e7624bffa9" ns2:_="" ns3:_="">
    <xsd:import namespace="446ee44a-4d06-438e-94b3-fbe32bf107cf"/>
    <xsd:import namespace="c2dbe6c9-e276-4ac9-842a-29f3873b6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ee44a-4d06-438e-94b3-fbe32bf10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be6c9-e276-4ac9-842a-29f3873b67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A6C41A-34A2-4589-AE1D-A687C4F8EC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6C4BD6-107E-439B-9C6B-98183501257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A4BB4F1-D296-4A34-B8B9-BB02A9EA8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ee44a-4d06-438e-94b3-fbe32bf107cf"/>
    <ds:schemaRef ds:uri="c2dbe6c9-e276-4ac9-842a-29f3873b6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登録用</vt:lpstr>
      <vt:lpstr>specificTerm</vt:lpstr>
      <vt:lpstr>generalTerm</vt:lpstr>
      <vt:lpstr>ユーザーリスト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>RDE</dc:creator>
  <cp:keywords/>
  <dc:description/>
  <cp:lastModifiedBy>RDE</cp:lastModifiedBy>
  <cp:revision/>
  <dcterms:created xsi:type="dcterms:W3CDTF">2020-01-29T07:38:10Z</dcterms:created>
  <dcterms:modified xsi:type="dcterms:W3CDTF">2026-07-19T01:42:23Z</dcterms:modified>
  <cp:category/>
  <cp:contentStatus/>
</cp:coreProperties>
</file>